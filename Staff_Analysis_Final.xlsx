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4f4d53af55aec150/Documents/GitHub/excel-data-analytics/"/>
    </mc:Choice>
  </mc:AlternateContent>
  <xr:revisionPtr revIDLastSave="1" documentId="8_{F149D143-7D68-47B1-9B9D-ECF10DD86ADD}" xr6:coauthVersionLast="47" xr6:coauthVersionMax="47" xr10:uidLastSave="{1CB0E6D3-E625-4A21-A28C-C9A245A47481}"/>
  <bookViews>
    <workbookView minimized="1" xWindow="2268" yWindow="2268" windowWidth="17280" windowHeight="8880" firstSheet="2" activeTab="3" xr2:uid="{C8DCEEBA-F00F-490D-8252-256240D3AEA3}"/>
  </bookViews>
  <sheets>
    <sheet name="Staff" sheetId="4" r:id="rId1"/>
    <sheet name="Pivot_table" sheetId="5" r:id="rId2"/>
    <sheet name="Analysis" sheetId="6" r:id="rId3"/>
    <sheet name="Dashboard" sheetId="7" r:id="rId4"/>
    <sheet name="insights" sheetId="8" r:id="rId5"/>
  </sheets>
  <definedNames>
    <definedName name="ExternalData_3" localSheetId="0" hidden="1">Staff!$A$1:$M$261</definedName>
    <definedName name="Slicer_Department">#N/A</definedName>
    <definedName name="Slicer_Employee_type">#N/A</definedName>
    <definedName name="Slicer_Gender">#N/A</definedName>
    <definedName name="Slicer_Work_location">#N/A</definedName>
  </definedNames>
  <calcPr calcId="191029"/>
  <pivotCaches>
    <pivotCache cacheId="16"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8" l="1"/>
  <c r="B7" i="8"/>
  <c r="B6" i="8"/>
  <c r="B5" i="8"/>
  <c r="G4" i="7"/>
  <c r="E4" i="7"/>
  <c r="C4" i="7"/>
  <c r="A4" i="7"/>
  <c r="G5" i="6"/>
  <c r="E5" i="6"/>
  <c r="C5" i="6"/>
  <c r="A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0A4899-3174-43E8-B023-23A78A92B30C}" keepAlive="1" name="Query - data" description="Connection to the 'data' query in the workbook." type="5" refreshedVersion="0" background="1">
    <dbPr connection="Provider=Microsoft.Mashup.OleDb.1;Data Source=$Workbook$;Location=data;Extended Properties=&quot;&quot;" command="SELECT * FROM [data]"/>
  </connection>
  <connection id="2" xr16:uid="{20A26A86-F4CC-4B30-938F-C9067E120334}" keepAlive="1" name="Query - medals" description="Connection to the 'medals' query in the workbook." type="5" refreshedVersion="0" background="1">
    <dbPr connection="Provider=Microsoft.Mashup.OleDb.1;Data Source=$Workbook$;Location=medals;Extended Properties=&quot;&quot;" command="SELECT * FROM [medals]"/>
  </connection>
  <connection id="3" xr16:uid="{7EAAFF0B-7079-4A90-B5F0-7E9BF994AA43}" keepAlive="1" name="Query - Staff" description="Connection to the 'Staff' query in the workbook." type="5" refreshedVersion="8" background="1" saveData="1">
    <dbPr connection="Provider=Microsoft.Mashup.OleDb.1;Data Source=$Workbook$;Location=Staff;Extended Properties=&quot;&quot;" command="SELECT * FROM [Staff]"/>
  </connection>
</connections>
</file>

<file path=xl/sharedStrings.xml><?xml version="1.0" encoding="utf-8"?>
<sst xmlns="http://schemas.openxmlformats.org/spreadsheetml/2006/main" count="2434" uniqueCount="753">
  <si>
    <t>Emp ID</t>
  </si>
  <si>
    <t>Gender</t>
  </si>
  <si>
    <t>Department</t>
  </si>
  <si>
    <t>Salary</t>
  </si>
  <si>
    <t>Start Date</t>
  </si>
  <si>
    <t>FTE</t>
  </si>
  <si>
    <t>Employee type</t>
  </si>
  <si>
    <t>Work location</t>
  </si>
  <si>
    <t>PR00007</t>
  </si>
  <si>
    <t>Female</t>
  </si>
  <si>
    <t>Training</t>
  </si>
  <si>
    <t>Permanent</t>
  </si>
  <si>
    <t>Wellington, New Zealand</t>
  </si>
  <si>
    <t>PR00095</t>
  </si>
  <si>
    <t>Business Development</t>
  </si>
  <si>
    <t>Hyderabad, India</t>
  </si>
  <si>
    <t>PR00113</t>
  </si>
  <si>
    <t>Columbus, USA</t>
  </si>
  <si>
    <t>PR00147</t>
  </si>
  <si>
    <t>Male</t>
  </si>
  <si>
    <t>Remote</t>
  </si>
  <si>
    <t>PR00246</t>
  </si>
  <si>
    <t>Marketing</t>
  </si>
  <si>
    <t>PR00419</t>
  </si>
  <si>
    <t>PR00576</t>
  </si>
  <si>
    <t>Legal</t>
  </si>
  <si>
    <t>PR00746</t>
  </si>
  <si>
    <t>Accounting</t>
  </si>
  <si>
    <t>PR00770</t>
  </si>
  <si>
    <t>PR00882</t>
  </si>
  <si>
    <t>PR00893</t>
  </si>
  <si>
    <t>Human Resources</t>
  </si>
  <si>
    <t>PR00916</t>
  </si>
  <si>
    <t>Research and Development</t>
  </si>
  <si>
    <t>PR01055</t>
  </si>
  <si>
    <t>Chennai, India</t>
  </si>
  <si>
    <t>PR01159</t>
  </si>
  <si>
    <t>Seattle, USA</t>
  </si>
  <si>
    <t>PR01211</t>
  </si>
  <si>
    <t>Auckland, New Zealand</t>
  </si>
  <si>
    <t>PR01269</t>
  </si>
  <si>
    <t>Engineering</t>
  </si>
  <si>
    <t>PR01306</t>
  </si>
  <si>
    <t>Services</t>
  </si>
  <si>
    <t>PR01346</t>
  </si>
  <si>
    <t>PR01383</t>
  </si>
  <si>
    <t>Product Management</t>
  </si>
  <si>
    <t>PR01476</t>
  </si>
  <si>
    <t>PR01662</t>
  </si>
  <si>
    <t>PR01943</t>
  </si>
  <si>
    <t>PR01956</t>
  </si>
  <si>
    <t>PR02010</t>
  </si>
  <si>
    <t>PR02016</t>
  </si>
  <si>
    <t>PR02113</t>
  </si>
  <si>
    <t>Support</t>
  </si>
  <si>
    <t>PR02140</t>
  </si>
  <si>
    <t>PR02208</t>
  </si>
  <si>
    <t>PR02275</t>
  </si>
  <si>
    <t>Sales</t>
  </si>
  <si>
    <t>PR02288</t>
  </si>
  <si>
    <t>PR02321</t>
  </si>
  <si>
    <t>PR02436</t>
  </si>
  <si>
    <t>PR02603</t>
  </si>
  <si>
    <t>PR02782</t>
  </si>
  <si>
    <t>PR02957</t>
  </si>
  <si>
    <t>PR03034</t>
  </si>
  <si>
    <t>PR03137</t>
  </si>
  <si>
    <t>PR03158</t>
  </si>
  <si>
    <t>PR03271</t>
  </si>
  <si>
    <t>PR03445</t>
  </si>
  <si>
    <t>PR03532</t>
  </si>
  <si>
    <t>PR03804</t>
  </si>
  <si>
    <t>PR03844</t>
  </si>
  <si>
    <t>PR03886</t>
  </si>
  <si>
    <t>PR03980</t>
  </si>
  <si>
    <t>PR04366</t>
  </si>
  <si>
    <t>PR04380</t>
  </si>
  <si>
    <t>PR04446</t>
  </si>
  <si>
    <t>PR04473</t>
  </si>
  <si>
    <t>PR04601</t>
  </si>
  <si>
    <t>PR04686</t>
  </si>
  <si>
    <t>PR04851</t>
  </si>
  <si>
    <t>SQ00022</t>
  </si>
  <si>
    <t>SQ00070</t>
  </si>
  <si>
    <t>First NAME</t>
  </si>
  <si>
    <t>Last NAME.1</t>
  </si>
  <si>
    <t>Salary Bucket</t>
  </si>
  <si>
    <t>Age</t>
  </si>
  <si>
    <t>WORK TYPE</t>
  </si>
  <si>
    <t>Minerva</t>
  </si>
  <si>
    <t>Ricardot</t>
  </si>
  <si>
    <t>above 100k</t>
  </si>
  <si>
    <t>Full time</t>
  </si>
  <si>
    <t>Oona</t>
  </si>
  <si>
    <t>Donan</t>
  </si>
  <si>
    <t>50k to 100k</t>
  </si>
  <si>
    <t>part time</t>
  </si>
  <si>
    <t>SQ04612</t>
  </si>
  <si>
    <t>Mick</t>
  </si>
  <si>
    <t>Spraberry</t>
  </si>
  <si>
    <t>VT01803</t>
  </si>
  <si>
    <t>Freddy</t>
  </si>
  <si>
    <t>Linford</t>
  </si>
  <si>
    <t>Fixed Term</t>
  </si>
  <si>
    <t>TN02749</t>
  </si>
  <si>
    <t>Parasuramudu</t>
  </si>
  <si>
    <t>Jamakayala</t>
  </si>
  <si>
    <t>SQ00144</t>
  </si>
  <si>
    <t>Collen</t>
  </si>
  <si>
    <t>Dunbleton</t>
  </si>
  <si>
    <t>Yedukondalu</t>
  </si>
  <si>
    <t>Panditula</t>
  </si>
  <si>
    <t>missing</t>
  </si>
  <si>
    <t>SQ01854</t>
  </si>
  <si>
    <t>Jessica</t>
  </si>
  <si>
    <t>Callcott</t>
  </si>
  <si>
    <t>SQ00612</t>
  </si>
  <si>
    <t/>
  </si>
  <si>
    <t>Leena</t>
  </si>
  <si>
    <t>Billi</t>
  </si>
  <si>
    <t>Fellgate</t>
  </si>
  <si>
    <t>VT00578</t>
  </si>
  <si>
    <t>Magnum</t>
  </si>
  <si>
    <t>Locksley</t>
  </si>
  <si>
    <t>50k</t>
  </si>
  <si>
    <t>TN01281</t>
  </si>
  <si>
    <t>Cletus</t>
  </si>
  <si>
    <t>McGarahan</t>
  </si>
  <si>
    <t>Wyn</t>
  </si>
  <si>
    <t>VT02417</t>
  </si>
  <si>
    <t>Evangelina</t>
  </si>
  <si>
    <t>Lergan</t>
  </si>
  <si>
    <t>Temporary</t>
  </si>
  <si>
    <t>SQ00691</t>
  </si>
  <si>
    <t>Verla</t>
  </si>
  <si>
    <t>Timmis</t>
  </si>
  <si>
    <t>TN00214</t>
  </si>
  <si>
    <t>Devsena</t>
  </si>
  <si>
    <t>Veluvalapalli</t>
  </si>
  <si>
    <t>VT02539</t>
  </si>
  <si>
    <t>Devinne</t>
  </si>
  <si>
    <t>Tuny</t>
  </si>
  <si>
    <t>SQ04598</t>
  </si>
  <si>
    <t>Pearla</t>
  </si>
  <si>
    <t>TN00464</t>
  </si>
  <si>
    <t>Gopal</t>
  </si>
  <si>
    <t>Venkata</t>
  </si>
  <si>
    <t>Vasavi</t>
  </si>
  <si>
    <t>Veeravasarapu</t>
  </si>
  <si>
    <t>Jill</t>
  </si>
  <si>
    <t>Myrle</t>
  </si>
  <si>
    <t>Prandoni</t>
  </si>
  <si>
    <t>TN03416</t>
  </si>
  <si>
    <t>Seward</t>
  </si>
  <si>
    <t>Kubera</t>
  </si>
  <si>
    <t>TN00890</t>
  </si>
  <si>
    <t>Mayur</t>
  </si>
  <si>
    <t>Kousika</t>
  </si>
  <si>
    <t>VT04137</t>
  </si>
  <si>
    <t>Marissa</t>
  </si>
  <si>
    <t>Infante</t>
  </si>
  <si>
    <t>Dinanath</t>
  </si>
  <si>
    <t>Simhambhatla</t>
  </si>
  <si>
    <t>Danica</t>
  </si>
  <si>
    <t>Nayshe</t>
  </si>
  <si>
    <t>Althea</t>
  </si>
  <si>
    <t>VT03849</t>
  </si>
  <si>
    <t>Leonidas</t>
  </si>
  <si>
    <t>Cavaney</t>
  </si>
  <si>
    <t>SQ01395</t>
  </si>
  <si>
    <t>Dennison</t>
  </si>
  <si>
    <t>Crosswaite</t>
  </si>
  <si>
    <t>SQ02559</t>
  </si>
  <si>
    <t>Aldrich</t>
  </si>
  <si>
    <t>VT04627</t>
  </si>
  <si>
    <t>Yvette</t>
  </si>
  <si>
    <t>VT03537</t>
  </si>
  <si>
    <t>Renaldo</t>
  </si>
  <si>
    <t>Thomassin</t>
  </si>
  <si>
    <t>Genevra</t>
  </si>
  <si>
    <t>Friday</t>
  </si>
  <si>
    <t>VT02313</t>
  </si>
  <si>
    <t>Thekla</t>
  </si>
  <si>
    <t>Lynnett</t>
  </si>
  <si>
    <t>SQ01620</t>
  </si>
  <si>
    <t>Westbrook</t>
  </si>
  <si>
    <t>Brandino</t>
  </si>
  <si>
    <t>VT04681</t>
  </si>
  <si>
    <t>Nickolai</t>
  </si>
  <si>
    <t>TN04246</t>
  </si>
  <si>
    <t>Shaylyn</t>
  </si>
  <si>
    <t>Ransbury</t>
  </si>
  <si>
    <t>TN02570</t>
  </si>
  <si>
    <t>Grady</t>
  </si>
  <si>
    <t>Rochelle</t>
  </si>
  <si>
    <t>VT02801</t>
  </si>
  <si>
    <t>Shellysheldon</t>
  </si>
  <si>
    <t>Mahady</t>
  </si>
  <si>
    <t>SQ01177</t>
  </si>
  <si>
    <t>Nazeer</t>
  </si>
  <si>
    <t>Basha</t>
  </si>
  <si>
    <t>VT01740</t>
  </si>
  <si>
    <t>Ginger</t>
  </si>
  <si>
    <t>TN01876</t>
  </si>
  <si>
    <t>Aileen</t>
  </si>
  <si>
    <t>McCritchie</t>
  </si>
  <si>
    <t>VT03988</t>
  </si>
  <si>
    <t>Venkat</t>
  </si>
  <si>
    <t>Kodi</t>
  </si>
  <si>
    <t>TN00227</t>
  </si>
  <si>
    <t>Raghuveer</t>
  </si>
  <si>
    <t>Yettugunna</t>
  </si>
  <si>
    <t>VT01092</t>
  </si>
  <si>
    <t>Tabby</t>
  </si>
  <si>
    <t>TN03169</t>
  </si>
  <si>
    <t>Doe</t>
  </si>
  <si>
    <t>Clubley</t>
  </si>
  <si>
    <t>SQ01402</t>
  </si>
  <si>
    <t>Sahaj</t>
  </si>
  <si>
    <t>Jonnalagadda</t>
  </si>
  <si>
    <t>SQ00360</t>
  </si>
  <si>
    <t>Orlando</t>
  </si>
  <si>
    <t>Gorstidge</t>
  </si>
  <si>
    <t>Gowri</t>
  </si>
  <si>
    <t>Sankar</t>
  </si>
  <si>
    <t>SQ01637</t>
  </si>
  <si>
    <t>Joaquin</t>
  </si>
  <si>
    <t>TN03210</t>
  </si>
  <si>
    <t>Suman</t>
  </si>
  <si>
    <t>Katte</t>
  </si>
  <si>
    <t>Brose</t>
  </si>
  <si>
    <t>MacCorkell</t>
  </si>
  <si>
    <t>VT04093</t>
  </si>
  <si>
    <t>Prasanna</t>
  </si>
  <si>
    <t>Lakshmi</t>
  </si>
  <si>
    <t>SQ02246</t>
  </si>
  <si>
    <t>Matias</t>
  </si>
  <si>
    <t>Cormack</t>
  </si>
  <si>
    <t>TN03032</t>
  </si>
  <si>
    <t>Jaipal</t>
  </si>
  <si>
    <t>Potanapudi</t>
  </si>
  <si>
    <t>SQ00914</t>
  </si>
  <si>
    <t>Duran</t>
  </si>
  <si>
    <t>Appala</t>
  </si>
  <si>
    <t>SQ02525</t>
  </si>
  <si>
    <t>Mickie</t>
  </si>
  <si>
    <t>Dagwell</t>
  </si>
  <si>
    <t>Isaak</t>
  </si>
  <si>
    <t>Rawne</t>
  </si>
  <si>
    <t>TN03331</t>
  </si>
  <si>
    <t>Crawford</t>
  </si>
  <si>
    <t>Scad</t>
  </si>
  <si>
    <t>VT01249</t>
  </si>
  <si>
    <t>Brendan</t>
  </si>
  <si>
    <t>Lalitchandra</t>
  </si>
  <si>
    <t>Vadali</t>
  </si>
  <si>
    <t>VT02260</t>
  </si>
  <si>
    <t>Rhiamon</t>
  </si>
  <si>
    <t>Mollison</t>
  </si>
  <si>
    <t>TN02883</t>
  </si>
  <si>
    <t>John</t>
  </si>
  <si>
    <t>Joseph</t>
  </si>
  <si>
    <t>SQ03024</t>
  </si>
  <si>
    <t>Inge</t>
  </si>
  <si>
    <t>Creer</t>
  </si>
  <si>
    <t>TN04428</t>
  </si>
  <si>
    <t>Tadio</t>
  </si>
  <si>
    <t>Audritt</t>
  </si>
  <si>
    <t>SQ03350</t>
  </si>
  <si>
    <t>Felice</t>
  </si>
  <si>
    <t>McMurty</t>
  </si>
  <si>
    <t>VT03421</t>
  </si>
  <si>
    <t>Alic</t>
  </si>
  <si>
    <t>Bagg</t>
  </si>
  <si>
    <t>Adolph</t>
  </si>
  <si>
    <t>McNalley</t>
  </si>
  <si>
    <t>VT02118</t>
  </si>
  <si>
    <t>Oorjit</t>
  </si>
  <si>
    <t>Nandanavanam</t>
  </si>
  <si>
    <t>TN02496</t>
  </si>
  <si>
    <t>Ponnan</t>
  </si>
  <si>
    <t>Delhi</t>
  </si>
  <si>
    <t>VT02491</t>
  </si>
  <si>
    <t>Alexis</t>
  </si>
  <si>
    <t>Gotfrey</t>
  </si>
  <si>
    <t>Kath</t>
  </si>
  <si>
    <t>VT03307</t>
  </si>
  <si>
    <t>Tallie</t>
  </si>
  <si>
    <t>Chaikovski</t>
  </si>
  <si>
    <t>TN04058</t>
  </si>
  <si>
    <t>Subbarao</t>
  </si>
  <si>
    <t>Malladi</t>
  </si>
  <si>
    <t>VT03993</t>
  </si>
  <si>
    <t>Dulce</t>
  </si>
  <si>
    <t>Colbeck</t>
  </si>
  <si>
    <t>VT02663</t>
  </si>
  <si>
    <t>Sravanthi</t>
  </si>
  <si>
    <t>Chalaki</t>
  </si>
  <si>
    <t>Sreenivasa</t>
  </si>
  <si>
    <t>Naik</t>
  </si>
  <si>
    <t>Mollie</t>
  </si>
  <si>
    <t>SQ03476</t>
  </si>
  <si>
    <t>Ramalingam</t>
  </si>
  <si>
    <t>Kothapeta</t>
  </si>
  <si>
    <t>Van</t>
  </si>
  <si>
    <t>Tuxwell</t>
  </si>
  <si>
    <t>TN00182</t>
  </si>
  <si>
    <t>Camilla</t>
  </si>
  <si>
    <t>Castle</t>
  </si>
  <si>
    <t>VT01523</t>
  </si>
  <si>
    <t>Charmane</t>
  </si>
  <si>
    <t>Heistermann</t>
  </si>
  <si>
    <t>Inger</t>
  </si>
  <si>
    <t>Chapelhow</t>
  </si>
  <si>
    <t>Enoch</t>
  </si>
  <si>
    <t>Dowrey</t>
  </si>
  <si>
    <t>VT01684</t>
  </si>
  <si>
    <t>Audry</t>
  </si>
  <si>
    <t>Yu</t>
  </si>
  <si>
    <t>TN04740</t>
  </si>
  <si>
    <t>Tristam</t>
  </si>
  <si>
    <t>Cuming</t>
  </si>
  <si>
    <t>TN03575</t>
  </si>
  <si>
    <t>Janina</t>
  </si>
  <si>
    <t>Wolverson</t>
  </si>
  <si>
    <t>VT04984</t>
  </si>
  <si>
    <t>Dell</t>
  </si>
  <si>
    <t>Molloy</t>
  </si>
  <si>
    <t>Devrat</t>
  </si>
  <si>
    <t>Damarsingh</t>
  </si>
  <si>
    <t>SQ03546</t>
  </si>
  <si>
    <t>Amlankusum</t>
  </si>
  <si>
    <t>Rajabhushan</t>
  </si>
  <si>
    <t>VT02374</t>
  </si>
  <si>
    <t>Delphine</t>
  </si>
  <si>
    <t>Jewis</t>
  </si>
  <si>
    <t>SQ00450</t>
  </si>
  <si>
    <t>Louise</t>
  </si>
  <si>
    <t>Pratigya</t>
  </si>
  <si>
    <t>Rema</t>
  </si>
  <si>
    <t>SQ04488</t>
  </si>
  <si>
    <t>Ramnath</t>
  </si>
  <si>
    <t>Ravuri</t>
  </si>
  <si>
    <t>TN00735</t>
  </si>
  <si>
    <t>Caresa</t>
  </si>
  <si>
    <t>Christer</t>
  </si>
  <si>
    <t>VT01893</t>
  </si>
  <si>
    <t>Lindy</t>
  </si>
  <si>
    <t>Guillet</t>
  </si>
  <si>
    <t>SQ02223</t>
  </si>
  <si>
    <t>Pippy</t>
  </si>
  <si>
    <t>Prerana</t>
  </si>
  <si>
    <t>Nishita</t>
  </si>
  <si>
    <t>SQ00498</t>
  </si>
  <si>
    <t>Amery</t>
  </si>
  <si>
    <t>Ofer</t>
  </si>
  <si>
    <t>Beverie</t>
  </si>
  <si>
    <t>Moffet</t>
  </si>
  <si>
    <t>TN00727</t>
  </si>
  <si>
    <t>Dulsea</t>
  </si>
  <si>
    <t>Folkes</t>
  </si>
  <si>
    <t>SQ01697</t>
  </si>
  <si>
    <t>Makshi</t>
  </si>
  <si>
    <t>Vinutha</t>
  </si>
  <si>
    <t>SQ01519</t>
  </si>
  <si>
    <t>Caron</t>
  </si>
  <si>
    <t>Kolakovic</t>
  </si>
  <si>
    <t>VT03500</t>
  </si>
  <si>
    <t>Shiuli</t>
  </si>
  <si>
    <t>Sapna</t>
  </si>
  <si>
    <t>TN01210</t>
  </si>
  <si>
    <t>Alyosha</t>
  </si>
  <si>
    <t>Riquet</t>
  </si>
  <si>
    <t>SQ03321</t>
  </si>
  <si>
    <t>Gradey</t>
  </si>
  <si>
    <t>Litton</t>
  </si>
  <si>
    <t>Vasu</t>
  </si>
  <si>
    <t>Nandin</t>
  </si>
  <si>
    <t>SQ00841</t>
  </si>
  <si>
    <t>Bhuvan</t>
  </si>
  <si>
    <t>Pals</t>
  </si>
  <si>
    <t>SQ04603</t>
  </si>
  <si>
    <t>Natalee</t>
  </si>
  <si>
    <t>Craiker</t>
  </si>
  <si>
    <t>TN01028</t>
  </si>
  <si>
    <t>Alicea</t>
  </si>
  <si>
    <t>Pudsall</t>
  </si>
  <si>
    <t>VT04028</t>
  </si>
  <si>
    <t>Michale</t>
  </si>
  <si>
    <t>Rolf</t>
  </si>
  <si>
    <t>TN03068</t>
  </si>
  <si>
    <t>Gumwant</t>
  </si>
  <si>
    <t>Veera</t>
  </si>
  <si>
    <t>VT03701</t>
  </si>
  <si>
    <t>Narois</t>
  </si>
  <si>
    <t>Motiwala</t>
  </si>
  <si>
    <t>TN04101</t>
  </si>
  <si>
    <t>Marline</t>
  </si>
  <si>
    <t>Wahncke</t>
  </si>
  <si>
    <t>TN01632</t>
  </si>
  <si>
    <t>Katya</t>
  </si>
  <si>
    <t>Hundy</t>
  </si>
  <si>
    <t>Jamesy</t>
  </si>
  <si>
    <t>Anjushri</t>
  </si>
  <si>
    <t>Chandiramani</t>
  </si>
  <si>
    <t>SQ03626</t>
  </si>
  <si>
    <t>Krishnakanta</t>
  </si>
  <si>
    <t>Vellanki</t>
  </si>
  <si>
    <t>VT01610</t>
  </si>
  <si>
    <t>Dhruv</t>
  </si>
  <si>
    <t>Manjunath</t>
  </si>
  <si>
    <t>TN01340</t>
  </si>
  <si>
    <t>Granny</t>
  </si>
  <si>
    <t>Spencelayh</t>
  </si>
  <si>
    <t>TN00698</t>
  </si>
  <si>
    <t>Barbara-anne</t>
  </si>
  <si>
    <t>Kenchington</t>
  </si>
  <si>
    <t>SQ00960</t>
  </si>
  <si>
    <t>Calvin</t>
  </si>
  <si>
    <t>O'Carroll</t>
  </si>
  <si>
    <t>SQ01998</t>
  </si>
  <si>
    <t>Vanmala</t>
  </si>
  <si>
    <t>Shriharsha</t>
  </si>
  <si>
    <t>Sameer</t>
  </si>
  <si>
    <t>Shashank</t>
  </si>
  <si>
    <t>SQ01283</t>
  </si>
  <si>
    <t>Barr</t>
  </si>
  <si>
    <t>Faughny</t>
  </si>
  <si>
    <t>SQ01026</t>
  </si>
  <si>
    <t>Anumati</t>
  </si>
  <si>
    <t>Shyamari</t>
  </si>
  <si>
    <t>TN01912</t>
  </si>
  <si>
    <t>Fred</t>
  </si>
  <si>
    <t>VT02319</t>
  </si>
  <si>
    <t>Tarala</t>
  </si>
  <si>
    <t>Vishaal</t>
  </si>
  <si>
    <t>SQ04960</t>
  </si>
  <si>
    <t>Shubhra</t>
  </si>
  <si>
    <t>Potla</t>
  </si>
  <si>
    <t>SQ01829</t>
  </si>
  <si>
    <t>Mabel</t>
  </si>
  <si>
    <t>Orrow</t>
  </si>
  <si>
    <t>Carlin</t>
  </si>
  <si>
    <t>Demke</t>
  </si>
  <si>
    <t>Hemavati</t>
  </si>
  <si>
    <t>Muthiah</t>
  </si>
  <si>
    <t>TN02798</t>
  </si>
  <si>
    <t>Krittika</t>
  </si>
  <si>
    <t>Gaekwad</t>
  </si>
  <si>
    <t>VT02532</t>
  </si>
  <si>
    <t>Adey</t>
  </si>
  <si>
    <t>Ryal</t>
  </si>
  <si>
    <t>Evanne</t>
  </si>
  <si>
    <t>SQ03116</t>
  </si>
  <si>
    <t>Syd</t>
  </si>
  <si>
    <t>Fearn</t>
  </si>
  <si>
    <t>SQ02638</t>
  </si>
  <si>
    <t>Cara</t>
  </si>
  <si>
    <t>Havers</t>
  </si>
  <si>
    <t>VT03704</t>
  </si>
  <si>
    <t>Egor</t>
  </si>
  <si>
    <t>Minto</t>
  </si>
  <si>
    <t>VT04552</t>
  </si>
  <si>
    <t>Theresita</t>
  </si>
  <si>
    <t>Chasmer</t>
  </si>
  <si>
    <t>SQ04665</t>
  </si>
  <si>
    <t>Collin</t>
  </si>
  <si>
    <t>Jagson</t>
  </si>
  <si>
    <t>VT00336</t>
  </si>
  <si>
    <t>Shevantilal</t>
  </si>
  <si>
    <t>Muppala</t>
  </si>
  <si>
    <t>TN01256</t>
  </si>
  <si>
    <t>Shattesh</t>
  </si>
  <si>
    <t>Utpat</t>
  </si>
  <si>
    <t>Stan</t>
  </si>
  <si>
    <t>VT01101</t>
  </si>
  <si>
    <t>Adela</t>
  </si>
  <si>
    <t>Dowsett</t>
  </si>
  <si>
    <t>TN04660</t>
  </si>
  <si>
    <t>Thedrick</t>
  </si>
  <si>
    <t>Bothwell</t>
  </si>
  <si>
    <t>VT00596</t>
  </si>
  <si>
    <t>Letisha</t>
  </si>
  <si>
    <t>Carrett</t>
  </si>
  <si>
    <t>VT03552</t>
  </si>
  <si>
    <t>Kamalakshi</t>
  </si>
  <si>
    <t>Mukundan</t>
  </si>
  <si>
    <t>TN00083</t>
  </si>
  <si>
    <t>Chandana</t>
  </si>
  <si>
    <t>Sannidhi</t>
  </si>
  <si>
    <t>SQ02643</t>
  </si>
  <si>
    <t>Indu</t>
  </si>
  <si>
    <t>Varada</t>
  </si>
  <si>
    <t>Karuna</t>
  </si>
  <si>
    <t>Pashupathy</t>
  </si>
  <si>
    <t>TN02674</t>
  </si>
  <si>
    <t>Antonetta</t>
  </si>
  <si>
    <t>TN02727</t>
  </si>
  <si>
    <t>Wald</t>
  </si>
  <si>
    <t>Bountiff</t>
  </si>
  <si>
    <t>VT01323</t>
  </si>
  <si>
    <t>Mardav</t>
  </si>
  <si>
    <t>Ramaswami</t>
  </si>
  <si>
    <t>Edd</t>
  </si>
  <si>
    <t>Hogan</t>
  </si>
  <si>
    <t>Iles</t>
  </si>
  <si>
    <t>SQ03387</t>
  </si>
  <si>
    <t>Robinia</t>
  </si>
  <si>
    <t>Scholling</t>
  </si>
  <si>
    <t>SQ00105</t>
  </si>
  <si>
    <t>Sarayu</t>
  </si>
  <si>
    <t>Ragunathan</t>
  </si>
  <si>
    <t>SQ02424</t>
  </si>
  <si>
    <t>Kevalkumar</t>
  </si>
  <si>
    <t>Solanki</t>
  </si>
  <si>
    <t>VT01703</t>
  </si>
  <si>
    <t>Upendra</t>
  </si>
  <si>
    <t>Swati</t>
  </si>
  <si>
    <t>SQ02703</t>
  </si>
  <si>
    <t>Deepit</t>
  </si>
  <si>
    <t>Ranjana</t>
  </si>
  <si>
    <t>VT04373</t>
  </si>
  <si>
    <t>Edi</t>
  </si>
  <si>
    <t>SQ03733</t>
  </si>
  <si>
    <t>Revkah</t>
  </si>
  <si>
    <t>Antonacci</t>
  </si>
  <si>
    <t>VT04467</t>
  </si>
  <si>
    <t>Amal</t>
  </si>
  <si>
    <t>Nimesh</t>
  </si>
  <si>
    <t>Kunja</t>
  </si>
  <si>
    <t>Prashanta</t>
  </si>
  <si>
    <t>Iris</t>
  </si>
  <si>
    <t>VT04415</t>
  </si>
  <si>
    <t>Malory</t>
  </si>
  <si>
    <t>Biles</t>
  </si>
  <si>
    <t>TN04067</t>
  </si>
  <si>
    <t>Lea</t>
  </si>
  <si>
    <t>Chaplin</t>
  </si>
  <si>
    <t>TN04175</t>
  </si>
  <si>
    <t>Hinda</t>
  </si>
  <si>
    <t>Label</t>
  </si>
  <si>
    <t>VT00687</t>
  </si>
  <si>
    <t>Godavari</t>
  </si>
  <si>
    <t>Veena</t>
  </si>
  <si>
    <t>Eleonore</t>
  </si>
  <si>
    <t>Airdrie</t>
  </si>
  <si>
    <t>TN00579</t>
  </si>
  <si>
    <t>Rafaelita</t>
  </si>
  <si>
    <t>Blaksland</t>
  </si>
  <si>
    <t>TN03097</t>
  </si>
  <si>
    <t>Bendite</t>
  </si>
  <si>
    <t>SQ02174</t>
  </si>
  <si>
    <t>Sidoney</t>
  </si>
  <si>
    <t>Yitzhok</t>
  </si>
  <si>
    <t>Vaughn</t>
  </si>
  <si>
    <t>Carvill</t>
  </si>
  <si>
    <t>TN01601</t>
  </si>
  <si>
    <t>Melva</t>
  </si>
  <si>
    <t>SQ01730</t>
  </si>
  <si>
    <t>Austine</t>
  </si>
  <si>
    <t>Littlewood</t>
  </si>
  <si>
    <t>TN03355</t>
  </si>
  <si>
    <t>Ruby</t>
  </si>
  <si>
    <t>Cracie</t>
  </si>
  <si>
    <t>VT01246</t>
  </si>
  <si>
    <t>Zach</t>
  </si>
  <si>
    <t>Polon</t>
  </si>
  <si>
    <t>Lamming</t>
  </si>
  <si>
    <t>TN04166</t>
  </si>
  <si>
    <t>Larissa</t>
  </si>
  <si>
    <t>Ingledow</t>
  </si>
  <si>
    <t>TN01701</t>
  </si>
  <si>
    <t>Yves</t>
  </si>
  <si>
    <t>VT03298</t>
  </si>
  <si>
    <t>Nonah</t>
  </si>
  <si>
    <t>Bissell</t>
  </si>
  <si>
    <t>TN04892</t>
  </si>
  <si>
    <t>Luca</t>
  </si>
  <si>
    <t>Wolstenholme</t>
  </si>
  <si>
    <t>Devasree</t>
  </si>
  <si>
    <t>Fullara</t>
  </si>
  <si>
    <t>SQ04437</t>
  </si>
  <si>
    <t>Hephzibah</t>
  </si>
  <si>
    <t>Summerell</t>
  </si>
  <si>
    <t>Beryl</t>
  </si>
  <si>
    <t>Burnsyde</t>
  </si>
  <si>
    <t>VT01762</t>
  </si>
  <si>
    <t>Geena</t>
  </si>
  <si>
    <t>Raghavanpillai</t>
  </si>
  <si>
    <t>VT04273</t>
  </si>
  <si>
    <t>Brad</t>
  </si>
  <si>
    <t>Gumb</t>
  </si>
  <si>
    <t>SQ00187</t>
  </si>
  <si>
    <t>Rupak</t>
  </si>
  <si>
    <t>Mehra</t>
  </si>
  <si>
    <t>Addi</t>
  </si>
  <si>
    <t>Studdeard</t>
  </si>
  <si>
    <t>TN00258</t>
  </si>
  <si>
    <t>Joyce</t>
  </si>
  <si>
    <t>Leyband</t>
  </si>
  <si>
    <t>VT00476</t>
  </si>
  <si>
    <t>Sawini</t>
  </si>
  <si>
    <t>Chandan</t>
  </si>
  <si>
    <t>Baruna</t>
  </si>
  <si>
    <t>Ogale</t>
  </si>
  <si>
    <t>TN01566</t>
  </si>
  <si>
    <t>Fonzie</t>
  </si>
  <si>
    <t>O'Shea</t>
  </si>
  <si>
    <t>Rodina</t>
  </si>
  <si>
    <t>Drinan</t>
  </si>
  <si>
    <t>Torrance</t>
  </si>
  <si>
    <t>SQ03491</t>
  </si>
  <si>
    <t>Freda</t>
  </si>
  <si>
    <t>Legan</t>
  </si>
  <si>
    <t>SQ02465</t>
  </si>
  <si>
    <t>Bernie</t>
  </si>
  <si>
    <t>Gorges</t>
  </si>
  <si>
    <t>VT00194</t>
  </si>
  <si>
    <t>Violante</t>
  </si>
  <si>
    <t>Courtonne</t>
  </si>
  <si>
    <t>TN00328</t>
  </si>
  <si>
    <t>Jeannie</t>
  </si>
  <si>
    <t>Petracco</t>
  </si>
  <si>
    <t>Jagajeet</t>
  </si>
  <si>
    <t>Viraj</t>
  </si>
  <si>
    <t>Husein</t>
  </si>
  <si>
    <t>Augar</t>
  </si>
  <si>
    <t>SQ02371</t>
  </si>
  <si>
    <t>Alida</t>
  </si>
  <si>
    <t>Welman</t>
  </si>
  <si>
    <t>VT04350</t>
  </si>
  <si>
    <t>Kulbhushan</t>
  </si>
  <si>
    <t>Moorthy</t>
  </si>
  <si>
    <t>SQ02035</t>
  </si>
  <si>
    <t>Anni</t>
  </si>
  <si>
    <t>Izzard</t>
  </si>
  <si>
    <t>SQ00286</t>
  </si>
  <si>
    <t>Ilesh</t>
  </si>
  <si>
    <t>Dasgupta</t>
  </si>
  <si>
    <t>TN02205</t>
  </si>
  <si>
    <t>Madhumati</t>
  </si>
  <si>
    <t>Gazala</t>
  </si>
  <si>
    <t>VT00740</t>
  </si>
  <si>
    <t>Chitrasen</t>
  </si>
  <si>
    <t>Laul</t>
  </si>
  <si>
    <t>Jaishree</t>
  </si>
  <si>
    <t>Atasi</t>
  </si>
  <si>
    <t>SQ03112</t>
  </si>
  <si>
    <t>Kantimoy</t>
  </si>
  <si>
    <t>Pritish</t>
  </si>
  <si>
    <t>Rameshwari</t>
  </si>
  <si>
    <t>Chikodi</t>
  </si>
  <si>
    <t>Lalit</t>
  </si>
  <si>
    <t>Kothari</t>
  </si>
  <si>
    <t>VT01996</t>
  </si>
  <si>
    <t>Hali</t>
  </si>
  <si>
    <t>Behnecke</t>
  </si>
  <si>
    <t>Sahas</t>
  </si>
  <si>
    <t>Sanabhi</t>
  </si>
  <si>
    <t>SQ02624</t>
  </si>
  <si>
    <t>Gwenneth</t>
  </si>
  <si>
    <t>Fealey</t>
  </si>
  <si>
    <t>SQ02565</t>
  </si>
  <si>
    <t>Konstantin</t>
  </si>
  <si>
    <t>Timblett</t>
  </si>
  <si>
    <t>SQ02582</t>
  </si>
  <si>
    <t>Kaishori</t>
  </si>
  <si>
    <t>Harathi</t>
  </si>
  <si>
    <t>TN02397</t>
  </si>
  <si>
    <t>Mendel</t>
  </si>
  <si>
    <t>TN04265</t>
  </si>
  <si>
    <t>Rushil</t>
  </si>
  <si>
    <t>Kripa</t>
  </si>
  <si>
    <t>TN02204</t>
  </si>
  <si>
    <t>Glenny</t>
  </si>
  <si>
    <t>Patti</t>
  </si>
  <si>
    <t>Dradey</t>
  </si>
  <si>
    <t>VT03771</t>
  </si>
  <si>
    <t>Marjie</t>
  </si>
  <si>
    <t>Bamford</t>
  </si>
  <si>
    <t>SQ04613</t>
  </si>
  <si>
    <t>Sarojini</t>
  </si>
  <si>
    <t>Naueshwara</t>
  </si>
  <si>
    <t>Marmaduke</t>
  </si>
  <si>
    <t>Worssam</t>
  </si>
  <si>
    <t>VT00534</t>
  </si>
  <si>
    <t>Roselle</t>
  </si>
  <si>
    <t>Wandrach</t>
  </si>
  <si>
    <t>Sartaj</t>
  </si>
  <si>
    <t>Probal</t>
  </si>
  <si>
    <t>TN01396</t>
  </si>
  <si>
    <t>Koral</t>
  </si>
  <si>
    <t>Gerriet</t>
  </si>
  <si>
    <t>TN02377</t>
  </si>
  <si>
    <t>Anjela</t>
  </si>
  <si>
    <t>Spancock</t>
  </si>
  <si>
    <t>TN02988</t>
  </si>
  <si>
    <t>Mahindra</t>
  </si>
  <si>
    <t>Sreedharan</t>
  </si>
  <si>
    <t>VT04905</t>
  </si>
  <si>
    <t>Suchira</t>
  </si>
  <si>
    <t>Bhanupriya</t>
  </si>
  <si>
    <t>Carry</t>
  </si>
  <si>
    <t>Loblie</t>
  </si>
  <si>
    <t>Sushanti</t>
  </si>
  <si>
    <t>TN04775</t>
  </si>
  <si>
    <t>Hridaynath</t>
  </si>
  <si>
    <t>Tendulkar</t>
  </si>
  <si>
    <t>SQ03625</t>
  </si>
  <si>
    <t>Fidela</t>
  </si>
  <si>
    <t>Row Labels</t>
  </si>
  <si>
    <t>Grand Total</t>
  </si>
  <si>
    <t>Count of Emp ID</t>
  </si>
  <si>
    <t>Average of Salary</t>
  </si>
  <si>
    <t>STAFF DATA ANALYSIS</t>
  </si>
  <si>
    <t>Key Performance Indicators</t>
  </si>
  <si>
    <t>Total Employees</t>
  </si>
  <si>
    <t>Average Salary</t>
  </si>
  <si>
    <t>Total Salary</t>
  </si>
  <si>
    <t>Average FTE</t>
  </si>
  <si>
    <t>TOTAL EMPLOYEES</t>
  </si>
  <si>
    <t>AVERAGE SALARY</t>
  </si>
  <si>
    <t>TOTAL SALARY</t>
  </si>
  <si>
    <t>AVERAGE FTE</t>
  </si>
  <si>
    <t>STAFF ANALYTICS DASHBOARD</t>
  </si>
  <si>
    <t>STAFF DATA ANALYSIS — KEY INSIGHTS</t>
  </si>
  <si>
    <t>Business findings based on the cleaned staff dataset and PivotTable analysis</t>
  </si>
  <si>
    <t>1. Overall Workforce</t>
  </si>
  <si>
    <t>2. Department Analysis</t>
  </si>
  <si>
    <t>Largest Department</t>
  </si>
  <si>
    <t>Highest Average Salary Department</t>
  </si>
  <si>
    <t>[actual department]</t>
  </si>
  <si>
    <t>Highest Average Salary</t>
  </si>
  <si>
    <t>[actual value]</t>
  </si>
  <si>
    <t>Again, don't guess.</t>
  </si>
  <si>
    <t>3. Employee Type Analysis</t>
  </si>
  <si>
    <t>Most Common Employee Type</t>
  </si>
  <si>
    <t>[actual type]</t>
  </si>
  <si>
    <t>Employee Count</t>
  </si>
  <si>
    <t>[actual count]</t>
  </si>
  <si>
    <t>4. Workforce Location Analysis</t>
  </si>
  <si>
    <t>Largest Workforce Location</t>
  </si>
  <si>
    <t>[actual location]</t>
  </si>
  <si>
    <t>Employees</t>
  </si>
  <si>
    <t>Remote Employees</t>
  </si>
  <si>
    <t>KEY BUSINESS FINDINGS</t>
  </si>
  <si>
    <t>1. The largest department is [Department], with [X] employees.</t>
  </si>
  <si>
    <t>2. [Department] has the highest average salary at [X].</t>
  </si>
  <si>
    <t>3. [Employee Type] is the most common employee category, representing [X]% of the workforce.</t>
  </si>
  <si>
    <t>4. [Location] has the highest concentration of employees.</t>
  </si>
  <si>
    <t>5. Hiring activity was highest in [Year], with [X] new employees.</t>
  </si>
  <si>
    <t>6. The average employee FTE is [X].</t>
  </si>
  <si>
    <t>7. The overall average salary is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</si>
</sst>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3" fontId="0" fillId="0" borderId="0" xfId="0" applyNumberFormat="1"/>
    <xf numFmtId="2" fontId="0" fillId="0" borderId="0" xfId="0" applyNumberFormat="1"/>
    <xf numFmtId="0" fontId="0" fillId="0" borderId="1" xfId="0" applyBorder="1"/>
    <xf numFmtId="0" fontId="0" fillId="0" borderId="2" xfId="0" applyBorder="1"/>
    <xf numFmtId="3" fontId="0" fillId="0" borderId="2" xfId="0" applyNumberFormat="1" applyBorder="1"/>
    <xf numFmtId="2" fontId="0" fillId="0" borderId="2" xfId="0" applyNumberFormat="1" applyBorder="1"/>
    <xf numFmtId="0" fontId="0" fillId="0" borderId="0" xfId="0" applyAlignment="1">
      <alignment horizontal="center"/>
    </xf>
    <xf numFmtId="0" fontId="0" fillId="0" borderId="0" xfId="0" applyAlignment="1">
      <alignment vertical="center" wrapText="1"/>
    </xf>
    <xf numFmtId="3" fontId="0" fillId="0" borderId="0" xfId="0" applyNumberFormat="1" applyAlignment="1">
      <alignment vertical="center" wrapText="1"/>
    </xf>
  </cellXfs>
  <cellStyles count="1">
    <cellStyle name="Normal" xfId="0" builtinId="0"/>
  </cellStyles>
  <dxfs count="8">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[Staff_Analysis_Final.xlsx]Pivot_table!PivotTable3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Employees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c:f>
              <c:strCache>
                <c:ptCount val="1"/>
                <c:pt idx="0">
                  <c:v>Total</c:v>
                </c:pt>
              </c:strCache>
            </c:strRef>
          </c:tx>
          <c:spPr>
            <a:solidFill>
              <a:schemeClr val="accent1"/>
            </a:solidFill>
            <a:ln>
              <a:noFill/>
            </a:ln>
            <a:effectLst/>
          </c:spPr>
          <c:invertIfNegative val="0"/>
          <c:cat>
            <c:strRef>
              <c:f>Pivot_table!$A$2:$A$3</c:f>
              <c:strCache>
                <c:ptCount val="1"/>
                <c:pt idx="0">
                  <c:v>Human Resources</c:v>
                </c:pt>
              </c:strCache>
            </c:strRef>
          </c:cat>
          <c:val>
            <c:numRef>
              <c:f>Pivot_table!$B$2:$B$3</c:f>
              <c:numCache>
                <c:formatCode>General</c:formatCode>
                <c:ptCount val="1"/>
                <c:pt idx="0">
                  <c:v>2</c:v>
                </c:pt>
              </c:numCache>
            </c:numRef>
          </c:val>
          <c:extLst>
            <c:ext xmlns:c16="http://schemas.microsoft.com/office/drawing/2014/chart" uri="{C3380CC4-5D6E-409C-BE32-E72D297353CC}">
              <c16:uniqueId val="{00000000-5786-4A4A-BD71-7831821186D1}"/>
            </c:ext>
          </c:extLst>
        </c:ser>
        <c:dLbls>
          <c:showLegendKey val="0"/>
          <c:showVal val="0"/>
          <c:showCatName val="0"/>
          <c:showSerName val="0"/>
          <c:showPercent val="0"/>
          <c:showBubbleSize val="0"/>
        </c:dLbls>
        <c:gapWidth val="182"/>
        <c:axId val="288288703"/>
        <c:axId val="999869775"/>
      </c:barChart>
      <c:catAx>
        <c:axId val="28828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869775"/>
        <c:crosses val="autoZero"/>
        <c:auto val="1"/>
        <c:lblAlgn val="ctr"/>
        <c:lblOffset val="100"/>
        <c:noMultiLvlLbl val="0"/>
      </c:catAx>
      <c:valAx>
        <c:axId val="999869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28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[Staff_Analysis_Final.xlsx]Pivot_table!PivotTable4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Pivot_table!$B$18</c:f>
              <c:strCache>
                <c:ptCount val="1"/>
                <c:pt idx="0">
                  <c:v>Total</c:v>
                </c:pt>
              </c:strCache>
            </c:strRef>
          </c:tx>
          <c:spPr>
            <a:solidFill>
              <a:schemeClr val="accent1"/>
            </a:solidFill>
            <a:ln>
              <a:noFill/>
            </a:ln>
            <a:effectLst/>
          </c:spPr>
          <c:invertIfNegative val="0"/>
          <c:cat>
            <c:strRef>
              <c:f>Pivot_table!$A$19:$A$31</c:f>
              <c:strCache>
                <c:ptCount val="12"/>
                <c:pt idx="0">
                  <c:v>Accounting</c:v>
                </c:pt>
                <c:pt idx="1">
                  <c:v>Business Development</c:v>
                </c:pt>
                <c:pt idx="2">
                  <c:v>Engineering</c:v>
                </c:pt>
                <c:pt idx="3">
                  <c:v>Human Resources</c:v>
                </c:pt>
                <c:pt idx="4">
                  <c:v>Legal</c:v>
                </c:pt>
                <c:pt idx="5">
                  <c:v>Marketing</c:v>
                </c:pt>
                <c:pt idx="6">
                  <c:v>Product Management</c:v>
                </c:pt>
                <c:pt idx="7">
                  <c:v>Research and Development</c:v>
                </c:pt>
                <c:pt idx="8">
                  <c:v>Sales</c:v>
                </c:pt>
                <c:pt idx="9">
                  <c:v>Services</c:v>
                </c:pt>
                <c:pt idx="10">
                  <c:v>Support</c:v>
                </c:pt>
                <c:pt idx="11">
                  <c:v>Training</c:v>
                </c:pt>
              </c:strCache>
            </c:strRef>
          </c:cat>
          <c:val>
            <c:numRef>
              <c:f>Pivot_table!$B$19:$B$31</c:f>
              <c:numCache>
                <c:formatCode>0</c:formatCode>
                <c:ptCount val="12"/>
                <c:pt idx="0">
                  <c:v>69806.945769230762</c:v>
                </c:pt>
                <c:pt idx="1">
                  <c:v>79781.805769230792</c:v>
                </c:pt>
                <c:pt idx="2">
                  <c:v>81976.441923076913</c:v>
                </c:pt>
                <c:pt idx="3">
                  <c:v>73109.377727272731</c:v>
                </c:pt>
                <c:pt idx="4">
                  <c:v>67242.51761904762</c:v>
                </c:pt>
                <c:pt idx="5">
                  <c:v>64441.299999999996</c:v>
                </c:pt>
                <c:pt idx="6">
                  <c:v>75179.064482758607</c:v>
                </c:pt>
                <c:pt idx="7">
                  <c:v>66910.765555555554</c:v>
                </c:pt>
                <c:pt idx="8">
                  <c:v>71897.095555555556</c:v>
                </c:pt>
                <c:pt idx="9">
                  <c:v>74673.97476190477</c:v>
                </c:pt>
                <c:pt idx="10">
                  <c:v>66432.455882352922</c:v>
                </c:pt>
                <c:pt idx="11">
                  <c:v>83883.965000000011</c:v>
                </c:pt>
              </c:numCache>
            </c:numRef>
          </c:val>
          <c:extLst>
            <c:ext xmlns:c16="http://schemas.microsoft.com/office/drawing/2014/chart" uri="{C3380CC4-5D6E-409C-BE32-E72D297353CC}">
              <c16:uniqueId val="{00000000-CA98-4954-9CA2-DA98820CE4FE}"/>
            </c:ext>
          </c:extLst>
        </c:ser>
        <c:dLbls>
          <c:showLegendKey val="0"/>
          <c:showVal val="0"/>
          <c:showCatName val="0"/>
          <c:showSerName val="0"/>
          <c:showPercent val="0"/>
          <c:showBubbleSize val="0"/>
        </c:dLbls>
        <c:gapWidth val="219"/>
        <c:overlap val="-27"/>
        <c:axId val="835486943"/>
        <c:axId val="999857775"/>
      </c:barChart>
      <c:catAx>
        <c:axId val="83548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857775"/>
        <c:crosses val="autoZero"/>
        <c:auto val="1"/>
        <c:lblAlgn val="ctr"/>
        <c:lblOffset val="100"/>
        <c:noMultiLvlLbl val="0"/>
      </c:catAx>
      <c:valAx>
        <c:axId val="9998577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48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[Staff_Analysis_Final.xlsx]Pivot_table!PivotTable6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
            </a:r>
            <a:endParaRPr lang="en-US"/>
          </a:p>
        </c:rich>
      </c:tx>
      <c:layout>
        <c:manualLayout>
          <c:xMode val="edge"/>
          <c:yMode val="edge"/>
          <c:x val="0.27330207930273914"/>
          <c:y val="0.1185266849196051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Pivot_table!$B$40</c:f>
              <c:strCache>
                <c:ptCount val="1"/>
                <c:pt idx="0">
                  <c:v>Total</c:v>
                </c:pt>
              </c:strCache>
            </c:strRef>
          </c:tx>
          <c:spPr>
            <a:solidFill>
              <a:schemeClr val="accent1"/>
            </a:solidFill>
            <a:ln>
              <a:noFill/>
            </a:ln>
            <a:effectLst/>
          </c:spPr>
          <c:invertIfNegative val="0"/>
          <c:cat>
            <c:strRef>
              <c:f>Pivot_table!$A$41:$A$48</c:f>
              <c:strCache>
                <c:ptCount val="7"/>
                <c:pt idx="0">
                  <c:v>Auckland, New Zealand</c:v>
                </c:pt>
                <c:pt idx="1">
                  <c:v>Chennai, India</c:v>
                </c:pt>
                <c:pt idx="2">
                  <c:v>Columbus, USA</c:v>
                </c:pt>
                <c:pt idx="3">
                  <c:v>Hyderabad, India</c:v>
                </c:pt>
                <c:pt idx="4">
                  <c:v>Remote</c:v>
                </c:pt>
                <c:pt idx="5">
                  <c:v>Seattle, USA</c:v>
                </c:pt>
                <c:pt idx="6">
                  <c:v>Wellington, New Zealand</c:v>
                </c:pt>
              </c:strCache>
            </c:strRef>
          </c:cat>
          <c:val>
            <c:numRef>
              <c:f>Pivot_table!$B$41:$B$48</c:f>
              <c:numCache>
                <c:formatCode>General</c:formatCode>
                <c:ptCount val="7"/>
                <c:pt idx="0">
                  <c:v>26</c:v>
                </c:pt>
                <c:pt idx="1">
                  <c:v>39</c:v>
                </c:pt>
                <c:pt idx="2">
                  <c:v>30</c:v>
                </c:pt>
                <c:pt idx="3">
                  <c:v>43</c:v>
                </c:pt>
                <c:pt idx="4">
                  <c:v>69</c:v>
                </c:pt>
                <c:pt idx="5">
                  <c:v>26</c:v>
                </c:pt>
                <c:pt idx="6">
                  <c:v>27</c:v>
                </c:pt>
              </c:numCache>
            </c:numRef>
          </c:val>
          <c:extLst>
            <c:ext xmlns:c16="http://schemas.microsoft.com/office/drawing/2014/chart" uri="{C3380CC4-5D6E-409C-BE32-E72D297353CC}">
              <c16:uniqueId val="{00000000-D4A9-4C08-8BF5-D7563777CFD7}"/>
            </c:ext>
          </c:extLst>
        </c:ser>
        <c:dLbls>
          <c:showLegendKey val="0"/>
          <c:showVal val="0"/>
          <c:showCatName val="0"/>
          <c:showSerName val="0"/>
          <c:showPercent val="0"/>
          <c:showBubbleSize val="0"/>
        </c:dLbls>
        <c:gapWidth val="182"/>
        <c:axId val="835515711"/>
        <c:axId val="714838607"/>
      </c:barChart>
      <c:catAx>
        <c:axId val="835515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838607"/>
        <c:crosses val="autoZero"/>
        <c:auto val="1"/>
        <c:lblAlgn val="ctr"/>
        <c:lblOffset val="100"/>
        <c:noMultiLvlLbl val="0"/>
      </c:catAx>
      <c:valAx>
        <c:axId val="714838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551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[Staff_Analysis_Final.xlsx]Pivot_table!PivotTable5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Employee Type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Pivot_table!$B$32</c:f>
              <c:strCache>
                <c:ptCount val="1"/>
                <c:pt idx="0">
                  <c:v>Total</c:v>
                </c:pt>
              </c:strCache>
            </c:strRef>
          </c:tx>
          <c:spPr>
            <a:solidFill>
              <a:schemeClr val="accent1"/>
            </a:solidFill>
            <a:ln>
              <a:noFill/>
            </a:ln>
            <a:effectLst/>
          </c:spPr>
          <c:invertIfNegative val="0"/>
          <c:cat>
            <c:strRef>
              <c:f>Pivot_table!$A$33:$A$36</c:f>
              <c:strCache>
                <c:ptCount val="3"/>
                <c:pt idx="0">
                  <c:v>Fixed Term</c:v>
                </c:pt>
                <c:pt idx="1">
                  <c:v>Permanent</c:v>
                </c:pt>
                <c:pt idx="2">
                  <c:v>Temporary</c:v>
                </c:pt>
              </c:strCache>
            </c:strRef>
          </c:cat>
          <c:val>
            <c:numRef>
              <c:f>Pivot_table!$B$33:$B$36</c:f>
              <c:numCache>
                <c:formatCode>General</c:formatCode>
                <c:ptCount val="3"/>
                <c:pt idx="0">
                  <c:v>50</c:v>
                </c:pt>
                <c:pt idx="1">
                  <c:v>168</c:v>
                </c:pt>
                <c:pt idx="2">
                  <c:v>42</c:v>
                </c:pt>
              </c:numCache>
            </c:numRef>
          </c:val>
          <c:extLst>
            <c:ext xmlns:c16="http://schemas.microsoft.com/office/drawing/2014/chart" uri="{C3380CC4-5D6E-409C-BE32-E72D297353CC}">
              <c16:uniqueId val="{00000000-52DB-46A8-87C6-176BC3C31F7E}"/>
            </c:ext>
          </c:extLst>
        </c:ser>
        <c:dLbls>
          <c:showLegendKey val="0"/>
          <c:showVal val="0"/>
          <c:showCatName val="0"/>
          <c:showSerName val="0"/>
          <c:showPercent val="0"/>
          <c:showBubbleSize val="0"/>
        </c:dLbls>
        <c:gapWidth val="182"/>
        <c:axId val="830841167"/>
        <c:axId val="714846767"/>
      </c:barChart>
      <c:catAx>
        <c:axId val="830841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846767"/>
        <c:crosses val="autoZero"/>
        <c:auto val="1"/>
        <c:lblAlgn val="ctr"/>
        <c:lblOffset val="100"/>
        <c:noMultiLvlLbl val="0"/>
      </c:catAx>
      <c:valAx>
        <c:axId val="7148467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4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0</xdr:rowOff>
    </xdr:from>
    <xdr:to>
      <xdr:col>7</xdr:col>
      <xdr:colOff>304800</xdr:colOff>
      <xdr:row>20</xdr:row>
      <xdr:rowOff>0</xdr:rowOff>
    </xdr:to>
    <xdr:graphicFrame macro="">
      <xdr:nvGraphicFramePr>
        <xdr:cNvPr id="2" name="Chart EMDE">
          <a:extLst>
            <a:ext uri="{FF2B5EF4-FFF2-40B4-BE49-F238E27FC236}">
              <a16:creationId xmlns:a16="http://schemas.microsoft.com/office/drawing/2014/main" id="{E9E11D9C-4B7F-411A-A657-67A0BC1BE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0</xdr:rowOff>
    </xdr:from>
    <xdr:to>
      <xdr:col>7</xdr:col>
      <xdr:colOff>304800</xdr:colOff>
      <xdr:row>40</xdr:row>
      <xdr:rowOff>0</xdr:rowOff>
    </xdr:to>
    <xdr:graphicFrame macro="">
      <xdr:nvGraphicFramePr>
        <xdr:cNvPr id="3" name="Chart 2">
          <a:extLst>
            <a:ext uri="{FF2B5EF4-FFF2-40B4-BE49-F238E27FC236}">
              <a16:creationId xmlns:a16="http://schemas.microsoft.com/office/drawing/2014/main" id="{1E39B6DA-B577-4BC1-8260-AD0F8AFD3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69</xdr:row>
      <xdr:rowOff>0</xdr:rowOff>
    </xdr:from>
    <xdr:to>
      <xdr:col>7</xdr:col>
      <xdr:colOff>304800</xdr:colOff>
      <xdr:row>84</xdr:row>
      <xdr:rowOff>0</xdr:rowOff>
    </xdr:to>
    <xdr:graphicFrame macro="">
      <xdr:nvGraphicFramePr>
        <xdr:cNvPr id="5" name="Chart 4">
          <a:extLst>
            <a:ext uri="{FF2B5EF4-FFF2-40B4-BE49-F238E27FC236}">
              <a16:creationId xmlns:a16="http://schemas.microsoft.com/office/drawing/2014/main" id="{6E6898A1-7B71-49A6-BE00-E91BC2D18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45</xdr:row>
      <xdr:rowOff>0</xdr:rowOff>
    </xdr:from>
    <xdr:to>
      <xdr:col>7</xdr:col>
      <xdr:colOff>304800</xdr:colOff>
      <xdr:row>60</xdr:row>
      <xdr:rowOff>0</xdr:rowOff>
    </xdr:to>
    <xdr:graphicFrame macro="">
      <xdr:nvGraphicFramePr>
        <xdr:cNvPr id="6" name="Chart 5">
          <a:extLst>
            <a:ext uri="{FF2B5EF4-FFF2-40B4-BE49-F238E27FC236}">
              <a16:creationId xmlns:a16="http://schemas.microsoft.com/office/drawing/2014/main" id="{BD4370B0-49E5-4D18-89C7-EDA37A51B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86</xdr:row>
      <xdr:rowOff>0</xdr:rowOff>
    </xdr:from>
    <xdr:to>
      <xdr:col>1</xdr:col>
      <xdr:colOff>30480</xdr:colOff>
      <xdr:row>99</xdr:row>
      <xdr:rowOff>89535</xdr:rowOff>
    </xdr:to>
    <mc:AlternateContent xmlns:mc="http://schemas.openxmlformats.org/markup-compatibility/2006">
      <mc:Choice xmlns:a14="http://schemas.microsoft.com/office/drawing/2010/main" Requires="a14">
        <xdr:graphicFrame macro="">
          <xdr:nvGraphicFramePr>
            <xdr:cNvPr id="7" name="Department">
              <a:extLst>
                <a:ext uri="{FF2B5EF4-FFF2-40B4-BE49-F238E27FC236}">
                  <a16:creationId xmlns:a16="http://schemas.microsoft.com/office/drawing/2014/main" id="{0D1293F9-14EE-46EE-BC88-451C4B7C296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15886545"/>
              <a:ext cx="1831571" cy="2490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86</xdr:row>
      <xdr:rowOff>0</xdr:rowOff>
    </xdr:from>
    <xdr:to>
      <xdr:col>4</xdr:col>
      <xdr:colOff>152400</xdr:colOff>
      <xdr:row>99</xdr:row>
      <xdr:rowOff>89535</xdr:rowOff>
    </xdr:to>
    <mc:AlternateContent xmlns:mc="http://schemas.openxmlformats.org/markup-compatibility/2006">
      <mc:Choice xmlns:a14="http://schemas.microsoft.com/office/drawing/2010/main" Requires="a14">
        <xdr:graphicFrame macro="">
          <xdr:nvGraphicFramePr>
            <xdr:cNvPr id="8" name="Work location">
              <a:extLst>
                <a:ext uri="{FF2B5EF4-FFF2-40B4-BE49-F238E27FC236}">
                  <a16:creationId xmlns:a16="http://schemas.microsoft.com/office/drawing/2014/main" id="{8D7D1BBE-58D5-4F45-8034-E22A7438B0F8}"/>
                </a:ext>
              </a:extLst>
            </xdr:cNvPr>
            <xdr:cNvGraphicFramePr/>
          </xdr:nvGraphicFramePr>
          <xdr:xfrm>
            <a:off x="0" y="0"/>
            <a:ext cx="0" cy="0"/>
          </xdr:xfrm>
          <a:graphic>
            <a:graphicData uri="http://schemas.microsoft.com/office/drawing/2010/slicer">
              <sle:slicer xmlns:sle="http://schemas.microsoft.com/office/drawing/2010/slicer" name="Work location"/>
            </a:graphicData>
          </a:graphic>
        </xdr:graphicFrame>
      </mc:Choice>
      <mc:Fallback>
        <xdr:sp macro="" textlink="">
          <xdr:nvSpPr>
            <xdr:cNvPr id="0" name=""/>
            <xdr:cNvSpPr>
              <a:spLocks noTextEdit="1"/>
            </xdr:cNvSpPr>
          </xdr:nvSpPr>
          <xdr:spPr>
            <a:xfrm>
              <a:off x="2413000" y="15886545"/>
              <a:ext cx="1826491" cy="2490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86</xdr:row>
      <xdr:rowOff>0</xdr:rowOff>
    </xdr:from>
    <xdr:to>
      <xdr:col>7</xdr:col>
      <xdr:colOff>403860</xdr:colOff>
      <xdr:row>99</xdr:row>
      <xdr:rowOff>89535</xdr:rowOff>
    </xdr:to>
    <mc:AlternateContent xmlns:mc="http://schemas.openxmlformats.org/markup-compatibility/2006">
      <mc:Choice xmlns:a14="http://schemas.microsoft.com/office/drawing/2010/main" Requires="a14">
        <xdr:graphicFrame macro="">
          <xdr:nvGraphicFramePr>
            <xdr:cNvPr id="9" name="Employee type">
              <a:extLst>
                <a:ext uri="{FF2B5EF4-FFF2-40B4-BE49-F238E27FC236}">
                  <a16:creationId xmlns:a16="http://schemas.microsoft.com/office/drawing/2014/main" id="{55E00A55-07CA-4408-AD08-0328CA541282}"/>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dr:sp macro="" textlink="">
          <xdr:nvSpPr>
            <xdr:cNvPr id="0" name=""/>
            <xdr:cNvSpPr>
              <a:spLocks noTextEdit="1"/>
            </xdr:cNvSpPr>
          </xdr:nvSpPr>
          <xdr:spPr>
            <a:xfrm>
              <a:off x="4953000" y="15886545"/>
              <a:ext cx="1835496" cy="2490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101</xdr:row>
      <xdr:rowOff>0</xdr:rowOff>
    </xdr:from>
    <xdr:to>
      <xdr:col>1</xdr:col>
      <xdr:colOff>30480</xdr:colOff>
      <xdr:row>114</xdr:row>
      <xdr:rowOff>89535</xdr:rowOff>
    </xdr:to>
    <mc:AlternateContent xmlns:mc="http://schemas.openxmlformats.org/markup-compatibility/2006">
      <mc:Choice xmlns:a14="http://schemas.microsoft.com/office/drawing/2010/main" Requires="a14">
        <xdr:graphicFrame macro="">
          <xdr:nvGraphicFramePr>
            <xdr:cNvPr id="10" name="Gender">
              <a:extLst>
                <a:ext uri="{FF2B5EF4-FFF2-40B4-BE49-F238E27FC236}">
                  <a16:creationId xmlns:a16="http://schemas.microsoft.com/office/drawing/2014/main" id="{8D0139C5-FD72-4586-86BF-BAA57F165EA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18657455"/>
              <a:ext cx="1831571" cy="2490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hii nayak" refreshedDate="46247.91869849537" createdVersion="8" refreshedVersion="8" minRefreshableVersion="3" recordCount="260" xr:uid="{282C2E0A-3077-482F-8FBC-59AFD58655C8}">
  <cacheSource type="worksheet">
    <worksheetSource name="Staff"/>
  </cacheSource>
  <cacheFields count="13">
    <cacheField name="Emp ID" numFmtId="0">
      <sharedItems count="229">
        <s v="PR00147"/>
        <s v="PR04686"/>
        <s v="SQ04612"/>
        <s v="VT01803"/>
        <s v="TN02749"/>
        <s v="SQ00144"/>
        <s v="PR04601"/>
        <s v="SQ01854"/>
        <s v="SQ00612"/>
        <s v="PR00419"/>
        <s v="VT00578"/>
        <s v="TN01281"/>
        <s v="PR04473"/>
        <s v="VT02417"/>
        <s v="SQ00691"/>
        <s v="TN00214"/>
        <s v="VT02539"/>
        <s v="SQ04598"/>
        <s v="TN00464"/>
        <s v="PR00893"/>
        <s v="PR00882"/>
        <s v="PR03445"/>
        <s v="TN03416"/>
        <s v="TN00890"/>
        <s v="VT04137"/>
        <s v="PR02603"/>
        <s v="PR03158"/>
        <s v="PR02288"/>
        <s v="VT03849"/>
        <s v="SQ01395"/>
        <s v="SQ02559"/>
        <s v="VT04627"/>
        <s v="VT03537"/>
        <s v="PR01662"/>
        <s v="VT02313"/>
        <s v="SQ01620"/>
        <s v="VT04681"/>
        <s v="TN04246"/>
        <s v="TN02570"/>
        <s v="VT02801"/>
        <s v="SQ01177"/>
        <s v="VT01740"/>
        <s v="TN01876"/>
        <s v="VT03988"/>
        <s v="TN00227"/>
        <s v="VT01092"/>
        <s v="TN03169"/>
        <s v="SQ01402"/>
        <s v="SQ00360"/>
        <s v="PR02208"/>
        <s v="SQ01637"/>
        <s v="TN03210"/>
        <s v="PR03844"/>
        <s v="VT04093"/>
        <s v="SQ02246"/>
        <s v="TN03032"/>
        <s v="SQ00914"/>
        <s v="SQ02525"/>
        <s v="PR02782"/>
        <s v="TN03331"/>
        <s v="VT01249"/>
        <s v="PR00576"/>
        <s v="VT02260"/>
        <s v="TN02883"/>
        <s v="SQ03024"/>
        <s v="TN04428"/>
        <s v="SQ03350"/>
        <s v="VT03421"/>
        <s v="PR01346"/>
        <s v="VT02118"/>
        <s v="TN02496"/>
        <s v="VT02491"/>
        <s v="PR03980"/>
        <s v="VT03307"/>
        <s v="TN04058"/>
        <s v="VT03993"/>
        <s v="VT02663"/>
        <s v="PR03034"/>
        <s v="PR01159"/>
        <s v="SQ03476"/>
        <s v="PR04380"/>
        <s v="TN00182"/>
        <s v="VT01523"/>
        <s v="PR00916"/>
        <s v="PR01211"/>
        <s v="VT01684"/>
        <s v="TN04740"/>
        <s v="TN03575"/>
        <s v="VT04984"/>
        <s v="PR00095"/>
        <s v="SQ03546"/>
        <s v="VT02374"/>
        <s v="SQ00450"/>
        <s v="PR03804"/>
        <s v="SQ04488"/>
        <s v="TN00735"/>
        <s v="VT01893"/>
        <s v="SQ02223"/>
        <s v="PR02010"/>
        <s v="SQ00498"/>
        <s v="PR02113"/>
        <s v="TN00727"/>
        <s v="SQ01697"/>
        <s v="SQ01519"/>
        <s v="VT03500"/>
        <s v="TN01210"/>
        <s v="SQ03321"/>
        <s v="SQ00841"/>
        <s v="SQ04603"/>
        <s v="TN01028"/>
        <s v="VT04028"/>
        <s v="TN03068"/>
        <s v="VT03701"/>
        <s v="TN04101"/>
        <s v="TN01632"/>
        <s v="PR01956"/>
        <s v="PR02140"/>
        <s v="SQ03626"/>
        <s v="VT01610"/>
        <s v="TN01340"/>
        <s v="TN00698"/>
        <s v="SQ00960"/>
        <s v="SQ01998"/>
        <s v="PR04446"/>
        <s v="SQ01283"/>
        <s v="SQ01026"/>
        <s v="TN01912"/>
        <s v="VT02319"/>
        <s v="SQ04960"/>
        <s v="SQ01829"/>
        <s v="SQ00022"/>
        <s v="TN02798"/>
        <s v="VT02532"/>
        <s v="PR02321"/>
        <s v="SQ03116"/>
        <s v="SQ02638"/>
        <s v="VT03704"/>
        <s v="VT04552"/>
        <s v="SQ04665"/>
        <s v="VT00336"/>
        <s v="TN01256"/>
        <s v="PR03271"/>
        <s v="VT01101"/>
        <s v="TN04660"/>
        <s v="VT00596"/>
        <s v="VT03552"/>
        <s v="TN00083"/>
        <s v="SQ02643"/>
        <s v="TN02674"/>
        <s v="TN02727"/>
        <s v="VT01323"/>
        <s v="PR03886"/>
        <s v="PR00746"/>
        <s v="SQ03387"/>
        <s v="SQ00105"/>
        <s v="SQ02424"/>
        <s v="VT01703"/>
        <s v="SQ02703"/>
        <s v="VT04373"/>
        <s v="SQ03733"/>
        <s v="VT04467"/>
        <s v="PR02016"/>
        <s v="VT04415"/>
        <s v="TN04067"/>
        <s v="TN04175"/>
        <s v="VT00687"/>
        <s v="PR01269"/>
        <s v="TN00579"/>
        <s v="TN03097"/>
        <s v="SQ02174"/>
        <s v="PR02957"/>
        <s v="TN01601"/>
        <s v="SQ01730"/>
        <s v="TN03355"/>
        <s v="VT01246"/>
        <s v="PR02275"/>
        <s v="TN04166"/>
        <s v="SQ00070"/>
        <s v="TN01701"/>
        <s v="VT03298"/>
        <s v="TN04892"/>
        <s v="PR01055"/>
        <s v="SQ04437"/>
        <s v="PR00770"/>
        <s v="VT01762"/>
        <s v="VT04273"/>
        <s v="SQ00187"/>
        <s v="PR00113"/>
        <s v="PR01383"/>
        <s v="TN00258"/>
        <s v="VT00476"/>
        <s v="TN01566"/>
        <s v="PR04851"/>
        <s v="PR00007"/>
        <s v="SQ03491"/>
        <s v="SQ02465"/>
        <s v="VT00194"/>
        <s v="TN00328"/>
        <s v="PR03137"/>
        <s v="PR00246"/>
        <s v="SQ02371"/>
        <s v="VT04350"/>
        <s v="SQ02035"/>
        <s v="SQ00286"/>
        <s v="TN02205"/>
        <s v="VT00740"/>
        <s v="PR01476"/>
        <s v="SQ03112"/>
        <s v="PR01943"/>
        <s v="VT01996"/>
        <s v="SQ02624"/>
        <s v="SQ02565"/>
        <s v="SQ02582"/>
        <s v="TN02397"/>
        <s v="TN04265"/>
        <s v="TN02204"/>
        <s v="PR01306"/>
        <s v="VT03771"/>
        <s v="SQ04613"/>
        <s v="PR02436"/>
        <s v="VT00534"/>
        <s v="TN01396"/>
        <s v="TN02377"/>
        <s v="PR03532"/>
        <s v="TN02988"/>
        <s v="VT04905"/>
        <s v="PR04366"/>
        <s v="TN04775"/>
        <s v="SQ03625"/>
      </sharedItems>
    </cacheField>
    <cacheField name="First NAME" numFmtId="0">
      <sharedItems/>
    </cacheField>
    <cacheField name="Last NAME.1" numFmtId="0">
      <sharedItems/>
    </cacheField>
    <cacheField name="Gender" numFmtId="0">
      <sharedItems count="3">
        <s v="Male"/>
        <s v="Female"/>
        <s v="missing"/>
      </sharedItems>
    </cacheField>
    <cacheField name="Department" numFmtId="0">
      <sharedItems count="12">
        <s v="Engineering"/>
        <s v="Business Development"/>
        <s v="Services"/>
        <s v="Training"/>
        <s v="Support"/>
        <s v="Marketing"/>
        <s v="Research and Development"/>
        <s v="Human Resources"/>
        <s v="Accounting"/>
        <s v="Sales"/>
        <s v="Product Management"/>
        <s v="Legal"/>
      </sharedItems>
    </cacheField>
    <cacheField name="Salary" numFmtId="0">
      <sharedItems containsSemiMixedTypes="0" containsString="0" containsNumber="1" minValue="28160.79" maxValue="120000"/>
    </cacheField>
    <cacheField name="Salary Bucket" numFmtId="0">
      <sharedItems/>
    </cacheField>
    <cacheField name="Start Date" numFmtId="14">
      <sharedItems containsSemiMixedTypes="0" containsNonDate="0" containsDate="1" containsString="0" minDate="2018-01-29T00:00:00" maxDate="2021-11-11T00:00:00"/>
    </cacheField>
    <cacheField name="FTE" numFmtId="0">
      <sharedItems containsSemiMixedTypes="0" containsString="0" containsNumber="1" minValue="0.2" maxValue="1"/>
    </cacheField>
    <cacheField name="Employee type" numFmtId="0">
      <sharedItems count="3">
        <s v="Permanent"/>
        <s v="Fixed Term"/>
        <s v="Temporary"/>
      </sharedItems>
    </cacheField>
    <cacheField name="Work location" numFmtId="0">
      <sharedItems count="7">
        <s v="Remote"/>
        <s v="Seattle, USA"/>
        <s v="Hyderabad, India"/>
        <s v="Wellington, New Zealand"/>
        <s v="Columbus, USA"/>
        <s v="Auckland, New Zealand"/>
        <s v="Chennai, India"/>
      </sharedItems>
    </cacheField>
    <cacheField name="Age" numFmtId="0">
      <sharedItems containsSemiMixedTypes="0" containsString="0" containsNumber="1" minValue="4.7589041095890412" maxValue="8.5424657534246577"/>
    </cacheField>
    <cacheField name="WORK TYPE" numFmtId="0">
      <sharedItems/>
    </cacheField>
  </cacheFields>
  <extLst>
    <ext xmlns:x14="http://schemas.microsoft.com/office/spreadsheetml/2009/9/main" uri="{725AE2AE-9491-48be-B2B4-4EB974FC3084}">
      <x14:pivotCacheDefinition pivotCacheId="1869987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
  <r>
    <x v="0"/>
    <s v="Minerva"/>
    <s v="Ricardot"/>
    <x v="0"/>
    <x v="0"/>
    <n v="120000"/>
    <s v="above 100k"/>
    <d v="2018-11-12T00:00:00"/>
    <n v="1"/>
    <x v="0"/>
    <x v="0"/>
    <n v="7.7561643835616438"/>
    <s v="Full time"/>
  </r>
  <r>
    <x v="1"/>
    <s v="Oona"/>
    <s v="Donan"/>
    <x v="1"/>
    <x v="1"/>
    <n v="98000"/>
    <s v="50k to 100k"/>
    <d v="2019-09-02T00:00:00"/>
    <n v="0.9"/>
    <x v="0"/>
    <x v="1"/>
    <n v="6.9506849315068493"/>
    <s v="part time"/>
  </r>
  <r>
    <x v="2"/>
    <s v="Mick"/>
    <s v="Spraberry"/>
    <x v="1"/>
    <x v="2"/>
    <n v="120000"/>
    <s v="above 100k"/>
    <d v="2020-03-12T00:00:00"/>
    <n v="0.9"/>
    <x v="0"/>
    <x v="0"/>
    <n v="6.4246575342465757"/>
    <s v="part time"/>
  </r>
  <r>
    <x v="3"/>
    <s v="Freddy"/>
    <s v="Linford"/>
    <x v="1"/>
    <x v="3"/>
    <n v="93128.34"/>
    <s v="50k to 100k"/>
    <d v="2018-03-05T00:00:00"/>
    <n v="1"/>
    <x v="1"/>
    <x v="1"/>
    <n v="8.4465753424657528"/>
    <s v="Full time"/>
  </r>
  <r>
    <x v="4"/>
    <s v="Parasuramudu"/>
    <s v="Jamakayala"/>
    <x v="1"/>
    <x v="3"/>
    <n v="57002.02"/>
    <s v="50k to 100k"/>
    <d v="2018-04-02T00:00:00"/>
    <n v="0.7"/>
    <x v="0"/>
    <x v="2"/>
    <n v="8.3698630136986303"/>
    <s v="part time"/>
  </r>
  <r>
    <x v="5"/>
    <s v="Collen"/>
    <s v="Dunbleton"/>
    <x v="0"/>
    <x v="0"/>
    <n v="118976.16"/>
    <s v="above 100k"/>
    <d v="2020-10-16T00:00:00"/>
    <n v="1"/>
    <x v="0"/>
    <x v="3"/>
    <n v="5.8273972602739725"/>
    <s v="Full time"/>
  </r>
  <r>
    <x v="6"/>
    <s v="Yedukondalu"/>
    <s v="Panditula"/>
    <x v="2"/>
    <x v="4"/>
    <n v="104802.63"/>
    <s v="above 100k"/>
    <d v="2021-11-02T00:00:00"/>
    <n v="1"/>
    <x v="0"/>
    <x v="2"/>
    <n v="4.7808219178082192"/>
    <s v="Full time"/>
  </r>
  <r>
    <x v="7"/>
    <s v="Jessica"/>
    <s v="Callcott"/>
    <x v="1"/>
    <x v="5"/>
    <n v="66017.179999999993"/>
    <s v="50k to 100k"/>
    <d v="2019-06-27T00:00:00"/>
    <n v="0.9"/>
    <x v="0"/>
    <x v="0"/>
    <n v="7.1342465753424653"/>
    <s v="part time"/>
  </r>
  <r>
    <x v="8"/>
    <s v=""/>
    <s v="Leena"/>
    <x v="0"/>
    <x v="6"/>
    <n v="74279.009999999995"/>
    <s v="50k to 100k"/>
    <d v="2019-01-01T00:00:00"/>
    <n v="1"/>
    <x v="0"/>
    <x v="3"/>
    <n v="7.6191780821917812"/>
    <s v="Full time"/>
  </r>
  <r>
    <x v="9"/>
    <s v="Billi"/>
    <s v="Fellgate"/>
    <x v="1"/>
    <x v="1"/>
    <n v="68980.52"/>
    <s v="50k to 100k"/>
    <d v="2019-01-29T00:00:00"/>
    <n v="0.8"/>
    <x v="0"/>
    <x v="0"/>
    <n v="7.5424657534246577"/>
    <s v="part time"/>
  </r>
  <r>
    <x v="10"/>
    <s v="Magnum"/>
    <s v="Locksley"/>
    <x v="1"/>
    <x v="2"/>
    <n v="42314.39"/>
    <s v="50k"/>
    <d v="2021-10-18T00:00:00"/>
    <n v="1"/>
    <x v="1"/>
    <x v="0"/>
    <n v="4.8219178082191778"/>
    <s v="Full time"/>
  </r>
  <r>
    <x v="11"/>
    <s v="Cletus"/>
    <s v="McGarahan"/>
    <x v="1"/>
    <x v="0"/>
    <n v="114425.19"/>
    <s v="above 100k"/>
    <d v="2020-01-27T00:00:00"/>
    <n v="1"/>
    <x v="0"/>
    <x v="3"/>
    <n v="6.5479452054794525"/>
    <s v="Full time"/>
  </r>
  <r>
    <x v="12"/>
    <s v=""/>
    <s v="Wyn"/>
    <x v="1"/>
    <x v="1"/>
    <n v="69192.850000000006"/>
    <s v="50k to 100k"/>
    <d v="2021-04-19T00:00:00"/>
    <n v="1"/>
    <x v="0"/>
    <x v="4"/>
    <n v="5.3205479452054796"/>
    <s v="Full time"/>
  </r>
  <r>
    <x v="13"/>
    <s v="Evangelina"/>
    <s v="Lergan"/>
    <x v="0"/>
    <x v="4"/>
    <n v="61214.26"/>
    <s v="50k to 100k"/>
    <d v="2018-03-12T00:00:00"/>
    <n v="1"/>
    <x v="2"/>
    <x v="5"/>
    <n v="8.4273972602739722"/>
    <s v="Full time"/>
  </r>
  <r>
    <x v="14"/>
    <s v="Verla"/>
    <s v="Timmis"/>
    <x v="0"/>
    <x v="4"/>
    <n v="54137.05"/>
    <s v="50k to 100k"/>
    <d v="2019-10-25T00:00:00"/>
    <n v="1"/>
    <x v="0"/>
    <x v="0"/>
    <n v="6.8054794520547945"/>
    <s v="Full time"/>
  </r>
  <r>
    <x v="15"/>
    <s v="Devsena"/>
    <s v="Veluvalapalli"/>
    <x v="1"/>
    <x v="3"/>
    <n v="37902.35"/>
    <s v="50k"/>
    <d v="2019-12-24T00:00:00"/>
    <n v="1"/>
    <x v="0"/>
    <x v="6"/>
    <n v="6.6410958904109592"/>
    <s v="Full time"/>
  </r>
  <r>
    <x v="16"/>
    <s v="Devinne"/>
    <s v="Tuny"/>
    <x v="0"/>
    <x v="0"/>
    <n v="39969.72"/>
    <s v="50k"/>
    <d v="2018-12-10T00:00:00"/>
    <n v="1"/>
    <x v="2"/>
    <x v="4"/>
    <n v="7.6794520547945204"/>
    <s v="Full time"/>
  </r>
  <r>
    <x v="17"/>
    <s v="Pearla"/>
    <s v=""/>
    <x v="0"/>
    <x v="2"/>
    <n v="69913.39"/>
    <s v="50k to 100k"/>
    <d v="2019-04-29T00:00:00"/>
    <n v="1"/>
    <x v="0"/>
    <x v="0"/>
    <n v="7.2958904109589042"/>
    <s v="Full time"/>
  </r>
  <r>
    <x v="18"/>
    <s v="Gopal"/>
    <s v="Venkata"/>
    <x v="0"/>
    <x v="6"/>
    <n v="52748.63"/>
    <s v="50k to 100k"/>
    <d v="2020-01-27T00:00:00"/>
    <n v="1"/>
    <x v="0"/>
    <x v="6"/>
    <n v="6.5479452054794525"/>
    <s v="Full time"/>
  </r>
  <r>
    <x v="19"/>
    <s v="Vasavi"/>
    <s v="Veeravasarapu"/>
    <x v="0"/>
    <x v="7"/>
    <n v="50310.09"/>
    <s v="50k to 100k"/>
    <d v="2021-03-30T00:00:00"/>
    <n v="0.4"/>
    <x v="0"/>
    <x v="2"/>
    <n v="5.375342465753425"/>
    <s v="part time"/>
  </r>
  <r>
    <x v="20"/>
    <s v=""/>
    <s v="Jill"/>
    <x v="0"/>
    <x v="8"/>
    <n v="52963.65"/>
    <s v="50k to 100k"/>
    <d v="2021-04-02T00:00:00"/>
    <n v="0.3"/>
    <x v="0"/>
    <x v="4"/>
    <n v="5.3671232876712329"/>
    <s v="part time"/>
  </r>
  <r>
    <x v="21"/>
    <s v="Myrle"/>
    <s v="Prandoni"/>
    <x v="0"/>
    <x v="9"/>
    <n v="62195.47"/>
    <s v="50k to 100k"/>
    <d v="2021-08-26T00:00:00"/>
    <n v="1"/>
    <x v="0"/>
    <x v="0"/>
    <n v="4.9671232876712326"/>
    <s v="Full time"/>
  </r>
  <r>
    <x v="22"/>
    <s v="Seward"/>
    <s v="Kubera"/>
    <x v="0"/>
    <x v="0"/>
    <n v="43329.22"/>
    <s v="50k"/>
    <d v="2019-12-10T00:00:00"/>
    <n v="0.5"/>
    <x v="1"/>
    <x v="0"/>
    <n v="6.6794520547945204"/>
    <s v="part time"/>
  </r>
  <r>
    <x v="23"/>
    <s v="Mayur"/>
    <s v="Kousika"/>
    <x v="1"/>
    <x v="3"/>
    <n v="71570.990000000005"/>
    <s v="50k to 100k"/>
    <d v="2021-02-22T00:00:00"/>
    <n v="0.5"/>
    <x v="0"/>
    <x v="2"/>
    <n v="5.4739726027397264"/>
    <s v="part time"/>
  </r>
  <r>
    <x v="24"/>
    <s v="Marissa"/>
    <s v="Infante"/>
    <x v="2"/>
    <x v="3"/>
    <n v="78840.23"/>
    <s v="50k to 100k"/>
    <d v="2019-06-17T00:00:00"/>
    <n v="1"/>
    <x v="2"/>
    <x v="0"/>
    <n v="7.161643835616438"/>
    <s v="Full time"/>
  </r>
  <r>
    <x v="25"/>
    <s v="Dinanath"/>
    <s v="Simhambhatla"/>
    <x v="1"/>
    <x v="7"/>
    <n v="61994.76"/>
    <s v="50k to 100k"/>
    <d v="2019-11-25T00:00:00"/>
    <n v="0.3"/>
    <x v="0"/>
    <x v="2"/>
    <n v="6.720547945205479"/>
    <s v="part time"/>
  </r>
  <r>
    <x v="26"/>
    <s v="Danica"/>
    <s v="Nayshe"/>
    <x v="1"/>
    <x v="2"/>
    <n v="89690.38"/>
    <s v="50k to 100k"/>
    <d v="2018-04-16T00:00:00"/>
    <n v="1"/>
    <x v="0"/>
    <x v="3"/>
    <n v="8.331506849315069"/>
    <s v="Full time"/>
  </r>
  <r>
    <x v="27"/>
    <s v="Althea"/>
    <s v=""/>
    <x v="0"/>
    <x v="10"/>
    <n v="104335.03999999999"/>
    <s v="above 100k"/>
    <d v="2020-02-13T00:00:00"/>
    <n v="1"/>
    <x v="0"/>
    <x v="4"/>
    <n v="6.5013698630136982"/>
    <s v="Full time"/>
  </r>
  <r>
    <x v="28"/>
    <s v="Leonidas"/>
    <s v="Cavaney"/>
    <x v="0"/>
    <x v="8"/>
    <n v="52246.29"/>
    <s v="50k to 100k"/>
    <d v="2019-04-18T00:00:00"/>
    <n v="1"/>
    <x v="2"/>
    <x v="3"/>
    <n v="7.3260273972602743"/>
    <s v="Full time"/>
  </r>
  <r>
    <x v="29"/>
    <s v="Dennison"/>
    <s v="Crosswaite"/>
    <x v="0"/>
    <x v="11"/>
    <n v="90697.67"/>
    <s v="50k to 100k"/>
    <d v="2021-01-25T00:00:00"/>
    <n v="0.8"/>
    <x v="0"/>
    <x v="1"/>
    <n v="5.5506849315068489"/>
    <s v="part time"/>
  </r>
  <r>
    <x v="30"/>
    <s v="Aldrich"/>
    <s v=""/>
    <x v="0"/>
    <x v="1"/>
    <n v="90884.32"/>
    <s v="50k to 100k"/>
    <d v="2019-12-27T00:00:00"/>
    <n v="1"/>
    <x v="0"/>
    <x v="4"/>
    <n v="6.6328767123287671"/>
    <s v="Full time"/>
  </r>
  <r>
    <x v="31"/>
    <s v="Yvette"/>
    <s v=""/>
    <x v="0"/>
    <x v="7"/>
    <n v="76320.44"/>
    <s v="50k to 100k"/>
    <d v="2021-07-06T00:00:00"/>
    <n v="0.8"/>
    <x v="2"/>
    <x v="0"/>
    <n v="5.1068493150684935"/>
    <s v="part time"/>
  </r>
  <r>
    <x v="32"/>
    <s v="Renaldo"/>
    <s v="Thomassin"/>
    <x v="0"/>
    <x v="1"/>
    <n v="73360.38"/>
    <s v="50k to 100k"/>
    <d v="2020-05-21T00:00:00"/>
    <n v="1"/>
    <x v="2"/>
    <x v="0"/>
    <n v="6.2328767123287667"/>
    <s v="Full time"/>
  </r>
  <r>
    <x v="33"/>
    <s v="Genevra"/>
    <s v="Friday"/>
    <x v="1"/>
    <x v="6"/>
    <n v="50449.46"/>
    <s v="50k to 100k"/>
    <d v="2018-11-14T00:00:00"/>
    <n v="0.8"/>
    <x v="0"/>
    <x v="5"/>
    <n v="7.7506849315068491"/>
    <s v="part time"/>
  </r>
  <r>
    <x v="34"/>
    <s v="Thekla"/>
    <s v="Lynnett"/>
    <x v="0"/>
    <x v="3"/>
    <n v="53949.26"/>
    <s v="50k to 100k"/>
    <d v="2019-12-09T00:00:00"/>
    <n v="1"/>
    <x v="2"/>
    <x v="4"/>
    <n v="6.6821917808219178"/>
    <s v="Full time"/>
  </r>
  <r>
    <x v="35"/>
    <s v="Westbrook"/>
    <s v="Brandino"/>
    <x v="0"/>
    <x v="11"/>
    <n v="113616.23"/>
    <s v="above 100k"/>
    <d v="2018-06-04T00:00:00"/>
    <n v="1"/>
    <x v="0"/>
    <x v="0"/>
    <n v="8.1972602739726028"/>
    <s v="Full time"/>
  </r>
  <r>
    <x v="36"/>
    <s v="Nickolai"/>
    <s v=""/>
    <x v="1"/>
    <x v="10"/>
    <n v="110906.35"/>
    <s v="above 100k"/>
    <d v="2018-11-30T00:00:00"/>
    <n v="1"/>
    <x v="2"/>
    <x v="3"/>
    <n v="7.7068493150684931"/>
    <s v="Full time"/>
  </r>
  <r>
    <x v="37"/>
    <s v="Shaylyn"/>
    <s v="Ransbury"/>
    <x v="1"/>
    <x v="4"/>
    <n v="100371.31"/>
    <s v="above 100k"/>
    <d v="2020-08-24T00:00:00"/>
    <n v="0.8"/>
    <x v="1"/>
    <x v="5"/>
    <n v="5.9726027397260273"/>
    <s v="part time"/>
  </r>
  <r>
    <x v="38"/>
    <s v="Grady"/>
    <s v="Rochelle"/>
    <x v="1"/>
    <x v="8"/>
    <n v="69163.39"/>
    <s v="50k to 100k"/>
    <d v="2018-10-24T00:00:00"/>
    <n v="1"/>
    <x v="0"/>
    <x v="0"/>
    <n v="7.8082191780821919"/>
    <s v="Full time"/>
  </r>
  <r>
    <x v="39"/>
    <s v="Shellysheldon"/>
    <s v="Mahady"/>
    <x v="0"/>
    <x v="3"/>
    <n v="114691.03"/>
    <s v="above 100k"/>
    <d v="2020-07-27T00:00:00"/>
    <n v="1"/>
    <x v="2"/>
    <x v="3"/>
    <n v="6.0493150684931507"/>
    <s v="Full time"/>
  </r>
  <r>
    <x v="40"/>
    <s v="Nazeer"/>
    <s v="Basha"/>
    <x v="0"/>
    <x v="7"/>
    <n v="86556.96"/>
    <s v="50k to 100k"/>
    <d v="2020-09-30T00:00:00"/>
    <n v="1"/>
    <x v="0"/>
    <x v="2"/>
    <n v="5.8712328767123285"/>
    <s v="Full time"/>
  </r>
  <r>
    <x v="41"/>
    <s v="Ginger"/>
    <s v=""/>
    <x v="1"/>
    <x v="2"/>
    <n v="31172.77"/>
    <s v="50k"/>
    <d v="2019-07-19T00:00:00"/>
    <n v="1"/>
    <x v="1"/>
    <x v="0"/>
    <n v="7.0739726027397261"/>
    <s v="Full time"/>
  </r>
  <r>
    <x v="42"/>
    <s v="Aileen"/>
    <s v="McCritchie"/>
    <x v="0"/>
    <x v="1"/>
    <n v="80169.42"/>
    <s v="50k to 100k"/>
    <d v="2020-08-10T00:00:00"/>
    <n v="1"/>
    <x v="0"/>
    <x v="5"/>
    <n v="6.0109589041095894"/>
    <s v="Full time"/>
  </r>
  <r>
    <x v="34"/>
    <s v="Thekla"/>
    <s v="Lynnett"/>
    <x v="0"/>
    <x v="3"/>
    <n v="53949.26"/>
    <s v="50k to 100k"/>
    <d v="2019-12-09T00:00:00"/>
    <n v="1"/>
    <x v="2"/>
    <x v="4"/>
    <n v="6.6821917808219178"/>
    <s v="Full time"/>
  </r>
  <r>
    <x v="43"/>
    <s v="Venkat"/>
    <s v="Kodi"/>
    <x v="1"/>
    <x v="4"/>
    <n v="58935.92"/>
    <s v="50k to 100k"/>
    <d v="2019-09-09T00:00:00"/>
    <n v="1"/>
    <x v="2"/>
    <x v="2"/>
    <n v="6.9315068493150687"/>
    <s v="Full time"/>
  </r>
  <r>
    <x v="44"/>
    <s v="Raghuveer"/>
    <s v="Yettugunna"/>
    <x v="1"/>
    <x v="4"/>
    <n v="63555.73"/>
    <s v="50k to 100k"/>
    <d v="2020-11-24T00:00:00"/>
    <n v="1"/>
    <x v="0"/>
    <x v="6"/>
    <n v="5.720547945205479"/>
    <s v="Full time"/>
  </r>
  <r>
    <x v="45"/>
    <s v="Tabby"/>
    <s v=""/>
    <x v="0"/>
    <x v="8"/>
    <n v="57419.35"/>
    <s v="50k to 100k"/>
    <d v="2018-07-24T00:00:00"/>
    <n v="1"/>
    <x v="1"/>
    <x v="5"/>
    <n v="8.0602739726027401"/>
    <s v="Full time"/>
  </r>
  <r>
    <x v="46"/>
    <s v="Doe"/>
    <s v="Clubley"/>
    <x v="1"/>
    <x v="10"/>
    <n v="67818.14"/>
    <s v="50k to 100k"/>
    <d v="2018-11-02T00:00:00"/>
    <n v="0.6"/>
    <x v="1"/>
    <x v="0"/>
    <n v="7.7835616438356166"/>
    <s v="part time"/>
  </r>
  <r>
    <x v="47"/>
    <s v="Sahaj"/>
    <s v="Jonnalagadda"/>
    <x v="1"/>
    <x v="0"/>
    <n v="44403.77"/>
    <s v="50k"/>
    <d v="2018-11-12T00:00:00"/>
    <n v="1"/>
    <x v="0"/>
    <x v="2"/>
    <n v="7.7561643835616438"/>
    <s v="Full time"/>
  </r>
  <r>
    <x v="48"/>
    <s v="Orlando"/>
    <s v="Gorstidge"/>
    <x v="0"/>
    <x v="5"/>
    <n v="40753.54"/>
    <s v="50k"/>
    <d v="2018-02-21T00:00:00"/>
    <n v="0.6"/>
    <x v="0"/>
    <x v="3"/>
    <n v="8.4794520547945211"/>
    <s v="part time"/>
  </r>
  <r>
    <x v="49"/>
    <s v="Gowri"/>
    <s v="Sankar"/>
    <x v="1"/>
    <x v="3"/>
    <n v="102934.09"/>
    <s v="above 100k"/>
    <d v="2021-04-29T00:00:00"/>
    <n v="1"/>
    <x v="0"/>
    <x v="2"/>
    <n v="5.2931506849315069"/>
    <s v="Full time"/>
  </r>
  <r>
    <x v="50"/>
    <s v=""/>
    <s v="Joaquin"/>
    <x v="0"/>
    <x v="9"/>
    <n v="68860.399999999994"/>
    <s v="50k to 100k"/>
    <d v="2019-02-12T00:00:00"/>
    <n v="0.4"/>
    <x v="0"/>
    <x v="4"/>
    <n v="7.5041095890410956"/>
    <s v="part time"/>
  </r>
  <r>
    <x v="51"/>
    <s v="Suman"/>
    <s v="Katte"/>
    <x v="0"/>
    <x v="3"/>
    <n v="79567.69"/>
    <s v="50k to 100k"/>
    <d v="2018-06-21T00:00:00"/>
    <n v="1"/>
    <x v="1"/>
    <x v="6"/>
    <n v="8.1506849315068486"/>
    <s v="Full time"/>
  </r>
  <r>
    <x v="52"/>
    <s v="Brose"/>
    <s v="MacCorkell"/>
    <x v="1"/>
    <x v="7"/>
    <n v="35943.620000000003"/>
    <s v="50k"/>
    <d v="2020-09-04T00:00:00"/>
    <n v="1"/>
    <x v="0"/>
    <x v="4"/>
    <n v="5.9424657534246572"/>
    <s v="Full time"/>
  </r>
  <r>
    <x v="53"/>
    <s v="Prasanna"/>
    <s v="Lakshmi"/>
    <x v="1"/>
    <x v="3"/>
    <n v="116767.63"/>
    <s v="above 100k"/>
    <d v="2020-04-28T00:00:00"/>
    <n v="0.4"/>
    <x v="2"/>
    <x v="6"/>
    <n v="6.2958904109589042"/>
    <s v="part time"/>
  </r>
  <r>
    <x v="54"/>
    <s v="Matias"/>
    <s v="Cormack"/>
    <x v="0"/>
    <x v="6"/>
    <n v="85455.53"/>
    <s v="50k to 100k"/>
    <d v="2020-01-09T00:00:00"/>
    <n v="1"/>
    <x v="0"/>
    <x v="3"/>
    <n v="6.5972602739726032"/>
    <s v="Full time"/>
  </r>
  <r>
    <x v="55"/>
    <s v="Jaipal"/>
    <s v="Potanapudi"/>
    <x v="1"/>
    <x v="6"/>
    <n v="39700.82"/>
    <s v="50k"/>
    <d v="2021-01-07T00:00:00"/>
    <n v="0.8"/>
    <x v="0"/>
    <x v="6"/>
    <n v="5.6"/>
    <s v="part time"/>
  </r>
  <r>
    <x v="56"/>
    <s v="Duran"/>
    <s v="Appala"/>
    <x v="1"/>
    <x v="10"/>
    <n v="38438.239999999998"/>
    <s v="50k"/>
    <d v="2020-05-11T00:00:00"/>
    <n v="1"/>
    <x v="0"/>
    <x v="6"/>
    <n v="6.2602739726027394"/>
    <s v="Full time"/>
  </r>
  <r>
    <x v="57"/>
    <s v="Mickie"/>
    <s v="Dagwell"/>
    <x v="0"/>
    <x v="0"/>
    <n v="50855.53"/>
    <s v="50k to 100k"/>
    <d v="2021-01-25T00:00:00"/>
    <n v="1"/>
    <x v="0"/>
    <x v="3"/>
    <n v="5.5506849315068489"/>
    <s v="Full time"/>
  </r>
  <r>
    <x v="58"/>
    <s v="Isaak"/>
    <s v="Rawne"/>
    <x v="0"/>
    <x v="5"/>
    <n v="37362.300000000003"/>
    <s v="50k"/>
    <d v="2019-06-26T00:00:00"/>
    <n v="1"/>
    <x v="0"/>
    <x v="5"/>
    <n v="7.1369863013698627"/>
    <s v="Full time"/>
  </r>
  <r>
    <x v="59"/>
    <s v="Crawford"/>
    <s v="Scad"/>
    <x v="0"/>
    <x v="7"/>
    <n v="72876.91"/>
    <s v="50k to 100k"/>
    <d v="2019-05-27T00:00:00"/>
    <n v="0.4"/>
    <x v="1"/>
    <x v="5"/>
    <n v="7.2191780821917808"/>
    <s v="part time"/>
  </r>
  <r>
    <x v="60"/>
    <s v="Brendan"/>
    <s v=""/>
    <x v="1"/>
    <x v="11"/>
    <n v="31042.51"/>
    <s v="50k"/>
    <d v="2021-10-04T00:00:00"/>
    <n v="0.3"/>
    <x v="1"/>
    <x v="0"/>
    <n v="4.86027397260274"/>
    <s v="part time"/>
  </r>
  <r>
    <x v="61"/>
    <s v="Lalitchandra"/>
    <s v="Vadali"/>
    <x v="1"/>
    <x v="11"/>
    <n v="63705.4"/>
    <s v="50k to 100k"/>
    <d v="2019-08-05T00:00:00"/>
    <n v="1"/>
    <x v="0"/>
    <x v="2"/>
    <n v="7.0273972602739727"/>
    <s v="Full time"/>
  </r>
  <r>
    <x v="62"/>
    <s v="Rhiamon"/>
    <s v="Mollison"/>
    <x v="1"/>
    <x v="6"/>
    <n v="59434.18"/>
    <s v="50k to 100k"/>
    <d v="2020-04-10T00:00:00"/>
    <n v="1"/>
    <x v="2"/>
    <x v="1"/>
    <n v="6.3452054794520549"/>
    <s v="Full time"/>
  </r>
  <r>
    <x v="63"/>
    <s v="John"/>
    <s v="Joseph"/>
    <x v="1"/>
    <x v="9"/>
    <n v="84762.76"/>
    <s v="50k to 100k"/>
    <d v="2018-08-20T00:00:00"/>
    <n v="1"/>
    <x v="0"/>
    <x v="2"/>
    <n v="7.9863013698630141"/>
    <s v="Full time"/>
  </r>
  <r>
    <x v="64"/>
    <s v="Inge"/>
    <s v="Creer"/>
    <x v="1"/>
    <x v="2"/>
    <n v="69057.320000000007"/>
    <s v="50k to 100k"/>
    <d v="2018-10-17T00:00:00"/>
    <n v="1"/>
    <x v="0"/>
    <x v="3"/>
    <n v="7.8273972602739725"/>
    <s v="Full time"/>
  </r>
  <r>
    <x v="65"/>
    <s v="Tadio"/>
    <s v="Audritt"/>
    <x v="2"/>
    <x v="7"/>
    <n v="99448.78"/>
    <s v="50k to 100k"/>
    <d v="2019-01-08T00:00:00"/>
    <n v="1"/>
    <x v="1"/>
    <x v="3"/>
    <n v="7.6"/>
    <s v="Full time"/>
  </r>
  <r>
    <x v="66"/>
    <s v="Felice"/>
    <s v="McMurty"/>
    <x v="1"/>
    <x v="10"/>
    <n v="66865.490000000005"/>
    <s v="50k to 100k"/>
    <d v="2019-02-18T00:00:00"/>
    <n v="1"/>
    <x v="0"/>
    <x v="1"/>
    <n v="7.4876712328767123"/>
    <s v="Full time"/>
  </r>
  <r>
    <x v="67"/>
    <s v="Alic"/>
    <s v="Bagg"/>
    <x v="0"/>
    <x v="11"/>
    <n v="113747.56"/>
    <s v="above 100k"/>
    <d v="2021-03-15T00:00:00"/>
    <n v="0.7"/>
    <x v="2"/>
    <x v="4"/>
    <n v="5.4164383561643836"/>
    <s v="part time"/>
  </r>
  <r>
    <x v="68"/>
    <s v="Adolph"/>
    <s v="McNalley"/>
    <x v="0"/>
    <x v="1"/>
    <n v="85918.61"/>
    <s v="50k to 100k"/>
    <d v="2018-02-05T00:00:00"/>
    <n v="1"/>
    <x v="0"/>
    <x v="4"/>
    <n v="8.5232876712328771"/>
    <s v="Full time"/>
  </r>
  <r>
    <x v="69"/>
    <s v="Oorjit"/>
    <s v="Nandanavanam"/>
    <x v="1"/>
    <x v="0"/>
    <n v="51165.37"/>
    <s v="50k to 100k"/>
    <d v="2021-02-10T00:00:00"/>
    <n v="1"/>
    <x v="1"/>
    <x v="2"/>
    <n v="5.506849315068493"/>
    <s v="Full time"/>
  </r>
  <r>
    <x v="70"/>
    <s v="Ponnan"/>
    <s v="Delhi"/>
    <x v="2"/>
    <x v="7"/>
    <n v="67957.899999999994"/>
    <s v="50k to 100k"/>
    <d v="2018-11-26T00:00:00"/>
    <n v="1"/>
    <x v="0"/>
    <x v="6"/>
    <n v="7.7178082191780826"/>
    <s v="Full time"/>
  </r>
  <r>
    <x v="71"/>
    <s v="Alexis"/>
    <s v="Gotfrey"/>
    <x v="0"/>
    <x v="0"/>
    <n v="114465.93"/>
    <s v="above 100k"/>
    <d v="2018-07-10T00:00:00"/>
    <n v="1"/>
    <x v="2"/>
    <x v="3"/>
    <n v="8.0986301369863014"/>
    <s v="Full time"/>
  </r>
  <r>
    <x v="72"/>
    <s v=""/>
    <s v="Kath"/>
    <x v="0"/>
    <x v="5"/>
    <n v="65699.02"/>
    <s v="50k to 100k"/>
    <d v="2020-04-30T00:00:00"/>
    <n v="1"/>
    <x v="0"/>
    <x v="4"/>
    <n v="6.2904109589041095"/>
    <s v="Full time"/>
  </r>
  <r>
    <x v="73"/>
    <s v="Tallie"/>
    <s v="Chaikovski"/>
    <x v="0"/>
    <x v="9"/>
    <n v="83191.95"/>
    <s v="50k to 100k"/>
    <d v="2019-08-23T00:00:00"/>
    <n v="0.6"/>
    <x v="2"/>
    <x v="0"/>
    <n v="6.978082191780822"/>
    <s v="part time"/>
  </r>
  <r>
    <x v="74"/>
    <s v="Subbarao"/>
    <s v="Malladi"/>
    <x v="0"/>
    <x v="10"/>
    <n v="106775.14"/>
    <s v="above 100k"/>
    <d v="2019-04-08T00:00:00"/>
    <n v="1"/>
    <x v="1"/>
    <x v="2"/>
    <n v="7.353424657534247"/>
    <s v="Full time"/>
  </r>
  <r>
    <x v="75"/>
    <s v="Dulce"/>
    <s v="Colbeck"/>
    <x v="0"/>
    <x v="7"/>
    <n v="83396.5"/>
    <s v="50k to 100k"/>
    <d v="2021-03-30T00:00:00"/>
    <n v="1"/>
    <x v="2"/>
    <x v="5"/>
    <n v="5.375342465753425"/>
    <s v="Full time"/>
  </r>
  <r>
    <x v="76"/>
    <s v="Sravanthi"/>
    <s v="Chalaki"/>
    <x v="0"/>
    <x v="11"/>
    <n v="28481.16"/>
    <s v="50k"/>
    <d v="2021-02-01T00:00:00"/>
    <n v="1"/>
    <x v="2"/>
    <x v="6"/>
    <n v="5.5315068493150683"/>
    <s v="Full time"/>
  </r>
  <r>
    <x v="77"/>
    <s v="Sreenivasa"/>
    <s v="Naik"/>
    <x v="0"/>
    <x v="9"/>
    <n v="32192.15"/>
    <s v="50k"/>
    <d v="2021-10-04T00:00:00"/>
    <n v="1"/>
    <x v="0"/>
    <x v="2"/>
    <n v="4.86027397260274"/>
    <s v="Full time"/>
  </r>
  <r>
    <x v="78"/>
    <s v="Mollie"/>
    <s v=""/>
    <x v="0"/>
    <x v="0"/>
    <n v="112645.99"/>
    <s v="above 100k"/>
    <d v="2019-10-21T00:00:00"/>
    <n v="0.6"/>
    <x v="0"/>
    <x v="1"/>
    <n v="6.816438356164384"/>
    <s v="part time"/>
  </r>
  <r>
    <x v="79"/>
    <s v="Ramalingam"/>
    <s v="Kothapeta"/>
    <x v="2"/>
    <x v="8"/>
    <n v="107107.6"/>
    <s v="above 100k"/>
    <d v="2018-08-13T00:00:00"/>
    <n v="0.9"/>
    <x v="0"/>
    <x v="6"/>
    <n v="8.0054794520547947"/>
    <s v="part time"/>
  </r>
  <r>
    <x v="80"/>
    <s v="Van"/>
    <s v="Tuxwell"/>
    <x v="1"/>
    <x v="1"/>
    <n v="80695.740000000005"/>
    <s v="50k to 100k"/>
    <d v="2019-11-18T00:00:00"/>
    <n v="0.8"/>
    <x v="0"/>
    <x v="4"/>
    <n v="6.7397260273972606"/>
    <s v="part time"/>
  </r>
  <r>
    <x v="81"/>
    <s v="Camilla"/>
    <s v="Castle"/>
    <x v="1"/>
    <x v="10"/>
    <n v="75475.929999999993"/>
    <s v="50k to 100k"/>
    <d v="2019-11-25T00:00:00"/>
    <n v="1"/>
    <x v="0"/>
    <x v="0"/>
    <n v="6.720547945205479"/>
    <s v="Full time"/>
  </r>
  <r>
    <x v="82"/>
    <s v="Charmane"/>
    <s v="Heistermann"/>
    <x v="1"/>
    <x v="1"/>
    <n v="86558.58"/>
    <s v="50k to 100k"/>
    <d v="2020-02-26T00:00:00"/>
    <n v="1"/>
    <x v="1"/>
    <x v="0"/>
    <n v="6.4657534246575343"/>
    <s v="Full time"/>
  </r>
  <r>
    <x v="83"/>
    <s v="Inger"/>
    <s v="Chapelhow"/>
    <x v="1"/>
    <x v="6"/>
    <n v="84309.95"/>
    <s v="50k to 100k"/>
    <d v="2021-11-01T00:00:00"/>
    <n v="1"/>
    <x v="0"/>
    <x v="0"/>
    <n v="4.7835616438356166"/>
    <s v="Full time"/>
  </r>
  <r>
    <x v="84"/>
    <s v="Enoch"/>
    <s v="Dowrey"/>
    <x v="0"/>
    <x v="8"/>
    <n v="91645.04"/>
    <s v="50k to 100k"/>
    <d v="2021-01-27T00:00:00"/>
    <n v="1"/>
    <x v="0"/>
    <x v="5"/>
    <n v="5.5452054794520551"/>
    <s v="Full time"/>
  </r>
  <r>
    <x v="85"/>
    <s v="Audry"/>
    <s v="Yu"/>
    <x v="1"/>
    <x v="3"/>
    <n v="101187.36"/>
    <s v="above 100k"/>
    <d v="2018-06-07T00:00:00"/>
    <n v="1"/>
    <x v="1"/>
    <x v="4"/>
    <n v="8.1890410958904116"/>
    <s v="Full time"/>
  </r>
  <r>
    <x v="42"/>
    <s v="Aileen"/>
    <s v="McCritchie"/>
    <x v="0"/>
    <x v="1"/>
    <n v="80169.42"/>
    <s v="50k to 100k"/>
    <d v="2020-08-10T00:00:00"/>
    <n v="1"/>
    <x v="0"/>
    <x v="5"/>
    <n v="6.0109589041095894"/>
    <s v="Full time"/>
  </r>
  <r>
    <x v="86"/>
    <s v="Tristam"/>
    <s v="Cuming"/>
    <x v="1"/>
    <x v="4"/>
    <n v="104038.9"/>
    <s v="above 100k"/>
    <d v="2019-12-16T00:00:00"/>
    <n v="1"/>
    <x v="1"/>
    <x v="0"/>
    <n v="6.6630136986301371"/>
    <s v="Full time"/>
  </r>
  <r>
    <x v="87"/>
    <s v="Janina"/>
    <s v="Wolverson"/>
    <x v="1"/>
    <x v="6"/>
    <n v="99683.67"/>
    <s v="50k to 100k"/>
    <d v="2019-02-04T00:00:00"/>
    <n v="1"/>
    <x v="1"/>
    <x v="1"/>
    <n v="7.5260273972602736"/>
    <s v="Full time"/>
  </r>
  <r>
    <x v="88"/>
    <s v="Dell"/>
    <s v="Molloy"/>
    <x v="0"/>
    <x v="0"/>
    <n v="47362.62"/>
    <s v="50k"/>
    <d v="2020-05-22T00:00:00"/>
    <n v="1"/>
    <x v="2"/>
    <x v="0"/>
    <n v="6.2301369863013702"/>
    <s v="Full time"/>
  </r>
  <r>
    <x v="89"/>
    <s v="Devrat"/>
    <s v="Damarsingh"/>
    <x v="1"/>
    <x v="1"/>
    <n v="70649.460000000006"/>
    <s v="50k to 100k"/>
    <d v="2020-01-13T00:00:00"/>
    <n v="1"/>
    <x v="0"/>
    <x v="2"/>
    <n v="6.5863013698630137"/>
    <s v="Full time"/>
  </r>
  <r>
    <x v="90"/>
    <s v="Amlankusum"/>
    <s v="Rajabhushan"/>
    <x v="1"/>
    <x v="11"/>
    <n v="75733.740000000005"/>
    <s v="50k to 100k"/>
    <d v="2021-07-05T00:00:00"/>
    <n v="1"/>
    <x v="0"/>
    <x v="2"/>
    <n v="5.1095890410958908"/>
    <s v="Full time"/>
  </r>
  <r>
    <x v="91"/>
    <s v="Delphine"/>
    <s v="Jewis"/>
    <x v="1"/>
    <x v="8"/>
    <n v="71823.56"/>
    <s v="50k to 100k"/>
    <d v="2018-10-01T00:00:00"/>
    <n v="0.3"/>
    <x v="2"/>
    <x v="0"/>
    <n v="7.8712328767123285"/>
    <s v="part time"/>
  </r>
  <r>
    <x v="92"/>
    <s v=""/>
    <s v="Louise"/>
    <x v="1"/>
    <x v="9"/>
    <n v="41934.71"/>
    <s v="50k"/>
    <d v="2020-04-22T00:00:00"/>
    <n v="1"/>
    <x v="0"/>
    <x v="0"/>
    <n v="6.3123287671232875"/>
    <s v="Full time"/>
  </r>
  <r>
    <x v="93"/>
    <s v="Pratigya"/>
    <s v="Rema"/>
    <x v="0"/>
    <x v="11"/>
    <n v="66572.58"/>
    <s v="50k to 100k"/>
    <d v="2020-12-28T00:00:00"/>
    <n v="1"/>
    <x v="0"/>
    <x v="6"/>
    <n v="5.6273972602739724"/>
    <s v="Full time"/>
  </r>
  <r>
    <x v="94"/>
    <s v="Ramnath"/>
    <s v="Ravuri"/>
    <x v="0"/>
    <x v="5"/>
    <n v="76932.600000000006"/>
    <s v="50k to 100k"/>
    <d v="2019-01-28T00:00:00"/>
    <n v="1"/>
    <x v="0"/>
    <x v="2"/>
    <n v="7.5452054794520551"/>
    <s v="Full time"/>
  </r>
  <r>
    <x v="95"/>
    <s v="Caresa"/>
    <s v="Christer"/>
    <x v="0"/>
    <x v="4"/>
    <n v="59258.19"/>
    <s v="50k to 100k"/>
    <d v="2018-12-18T00:00:00"/>
    <n v="0.8"/>
    <x v="0"/>
    <x v="1"/>
    <n v="7.6575342465753424"/>
    <s v="part time"/>
  </r>
  <r>
    <x v="96"/>
    <s v="Lindy"/>
    <s v="Guillet"/>
    <x v="0"/>
    <x v="3"/>
    <n v="112778.28"/>
    <s v="above 100k"/>
    <d v="2018-05-30T00:00:00"/>
    <n v="1"/>
    <x v="1"/>
    <x v="0"/>
    <n v="8.2109589041095887"/>
    <s v="Full time"/>
  </r>
  <r>
    <x v="97"/>
    <s v=""/>
    <s v="Pippy"/>
    <x v="1"/>
    <x v="8"/>
    <n v="44845.33"/>
    <s v="50k"/>
    <d v="2018-06-26T00:00:00"/>
    <n v="1"/>
    <x v="0"/>
    <x v="1"/>
    <n v="8.1369863013698627"/>
    <s v="Full time"/>
  </r>
  <r>
    <x v="98"/>
    <s v="Prerana"/>
    <s v="Nishita"/>
    <x v="0"/>
    <x v="10"/>
    <n v="115191.38"/>
    <s v="above 100k"/>
    <d v="2020-06-22T00:00:00"/>
    <n v="1"/>
    <x v="0"/>
    <x v="2"/>
    <n v="6.1452054794520548"/>
    <s v="Full time"/>
  </r>
  <r>
    <x v="99"/>
    <s v="Amery"/>
    <s v="Ofer"/>
    <x v="1"/>
    <x v="11"/>
    <n v="111049.84"/>
    <s v="above 100k"/>
    <d v="2021-07-16T00:00:00"/>
    <n v="1"/>
    <x v="0"/>
    <x v="3"/>
    <n v="5.0794520547945208"/>
    <s v="Full time"/>
  </r>
  <r>
    <x v="100"/>
    <s v="Beverie"/>
    <s v="Moffet"/>
    <x v="1"/>
    <x v="4"/>
    <n v="75974.990000000005"/>
    <s v="50k to 100k"/>
    <d v="2020-12-07T00:00:00"/>
    <n v="1"/>
    <x v="0"/>
    <x v="0"/>
    <n v="5.6849315068493151"/>
    <s v="Full time"/>
  </r>
  <r>
    <x v="101"/>
    <s v="Dulsea"/>
    <s v="Folkes"/>
    <x v="1"/>
    <x v="2"/>
    <n v="42161.77"/>
    <s v="50k"/>
    <d v="2019-01-29T00:00:00"/>
    <n v="1"/>
    <x v="0"/>
    <x v="5"/>
    <n v="7.5424657534246577"/>
    <s v="Full time"/>
  </r>
  <r>
    <x v="102"/>
    <s v="Makshi"/>
    <s v="Vinutha"/>
    <x v="0"/>
    <x v="1"/>
    <n v="71371.37"/>
    <s v="50k to 100k"/>
    <d v="2018-10-19T00:00:00"/>
    <n v="1"/>
    <x v="0"/>
    <x v="2"/>
    <n v="7.8219178082191778"/>
    <s v="Full time"/>
  </r>
  <r>
    <x v="103"/>
    <s v="Caron"/>
    <s v="Kolakovic"/>
    <x v="0"/>
    <x v="8"/>
    <n v="49915.14"/>
    <s v="50k"/>
    <d v="2019-03-26T00:00:00"/>
    <n v="1"/>
    <x v="0"/>
    <x v="0"/>
    <n v="7.3890410958904109"/>
    <s v="Full time"/>
  </r>
  <r>
    <x v="104"/>
    <s v="Shiuli"/>
    <s v="Sapna"/>
    <x v="0"/>
    <x v="4"/>
    <n v="37062.1"/>
    <s v="50k"/>
    <d v="2021-06-10T00:00:00"/>
    <n v="1"/>
    <x v="2"/>
    <x v="6"/>
    <n v="5.1780821917808222"/>
    <s v="Full time"/>
  </r>
  <r>
    <x v="30"/>
    <s v="Aldrich"/>
    <s v=""/>
    <x v="0"/>
    <x v="1"/>
    <n v="90884.32"/>
    <s v="50k to 100k"/>
    <d v="2019-12-27T00:00:00"/>
    <n v="1"/>
    <x v="0"/>
    <x v="4"/>
    <n v="6.6328767123287671"/>
    <s v="Full time"/>
  </r>
  <r>
    <x v="105"/>
    <s v="Alyosha"/>
    <s v="Riquet"/>
    <x v="0"/>
    <x v="11"/>
    <n v="89838.77"/>
    <s v="50k to 100k"/>
    <d v="2019-05-17T00:00:00"/>
    <n v="1"/>
    <x v="0"/>
    <x v="0"/>
    <n v="7.2465753424657535"/>
    <s v="Full time"/>
  </r>
  <r>
    <x v="106"/>
    <s v="Gradey"/>
    <s v="Litton"/>
    <x v="1"/>
    <x v="8"/>
    <n v="68887.839999999997"/>
    <s v="50k to 100k"/>
    <d v="2018-07-16T00:00:00"/>
    <n v="1"/>
    <x v="0"/>
    <x v="0"/>
    <n v="8.0821917808219172"/>
    <s v="Full time"/>
  </r>
  <r>
    <x v="74"/>
    <s v="Vasu"/>
    <s v="Nandin"/>
    <x v="0"/>
    <x v="10"/>
    <n v="106775.14"/>
    <s v="above 100k"/>
    <d v="2019-04-08T00:00:00"/>
    <n v="1"/>
    <x v="1"/>
    <x v="2"/>
    <n v="7.353424657534247"/>
    <s v="Full time"/>
  </r>
  <r>
    <x v="107"/>
    <s v="Bhuvan"/>
    <s v="Pals"/>
    <x v="1"/>
    <x v="2"/>
    <n v="89690.38"/>
    <s v="50k to 100k"/>
    <d v="2018-04-23T00:00:00"/>
    <n v="1"/>
    <x v="0"/>
    <x v="2"/>
    <n v="8.3123287671232884"/>
    <s v="Full time"/>
  </r>
  <r>
    <x v="108"/>
    <s v="Natalee"/>
    <s v="Craiker"/>
    <x v="0"/>
    <x v="10"/>
    <n v="111229.47"/>
    <s v="above 100k"/>
    <d v="2018-10-29T00:00:00"/>
    <n v="1"/>
    <x v="0"/>
    <x v="0"/>
    <n v="7.7945205479452051"/>
    <s v="Full time"/>
  </r>
  <r>
    <x v="109"/>
    <s v="Alicea"/>
    <s v="Pudsall"/>
    <x v="0"/>
    <x v="8"/>
    <n v="67633.850000000006"/>
    <s v="50k to 100k"/>
    <d v="2018-08-28T00:00:00"/>
    <n v="1"/>
    <x v="0"/>
    <x v="4"/>
    <n v="7.9643835616438352"/>
    <s v="Full time"/>
  </r>
  <r>
    <x v="110"/>
    <s v="Michale"/>
    <s v="Rolf"/>
    <x v="0"/>
    <x v="2"/>
    <n v="111815.49"/>
    <s v="above 100k"/>
    <d v="2020-03-05T00:00:00"/>
    <n v="0.7"/>
    <x v="2"/>
    <x v="0"/>
    <n v="6.4438356164383563"/>
    <s v="part time"/>
  </r>
  <r>
    <x v="111"/>
    <s v="Gumwant"/>
    <s v="Veera"/>
    <x v="0"/>
    <x v="1"/>
    <n v="39784.239999999998"/>
    <s v="50k"/>
    <d v="2018-12-31T00:00:00"/>
    <n v="1"/>
    <x v="1"/>
    <x v="6"/>
    <n v="7.6219178082191785"/>
    <s v="Full time"/>
  </r>
  <r>
    <x v="112"/>
    <s v="Narois"/>
    <s v="Motiwala"/>
    <x v="1"/>
    <x v="10"/>
    <n v="89829.33"/>
    <s v="50k to 100k"/>
    <d v="2019-11-25T00:00:00"/>
    <n v="1"/>
    <x v="2"/>
    <x v="6"/>
    <n v="6.720547945205479"/>
    <s v="Full time"/>
  </r>
  <r>
    <x v="110"/>
    <s v="Michale"/>
    <s v="Rolf"/>
    <x v="0"/>
    <x v="2"/>
    <n v="111815.49"/>
    <s v="above 100k"/>
    <d v="2020-03-05T00:00:00"/>
    <n v="0.7"/>
    <x v="2"/>
    <x v="0"/>
    <n v="6.4438356164383563"/>
    <s v="part time"/>
  </r>
  <r>
    <x v="113"/>
    <s v="Marline"/>
    <s v="Wahncke"/>
    <x v="0"/>
    <x v="11"/>
    <n v="72843.23"/>
    <s v="50k to 100k"/>
    <d v="2018-06-29T00:00:00"/>
    <n v="1"/>
    <x v="1"/>
    <x v="3"/>
    <n v="8.1287671232876715"/>
    <s v="Full time"/>
  </r>
  <r>
    <x v="91"/>
    <s v="Delphine"/>
    <s v="Jewis"/>
    <x v="1"/>
    <x v="8"/>
    <n v="71823.56"/>
    <s v="50k to 100k"/>
    <d v="2018-10-01T00:00:00"/>
    <n v="0.3"/>
    <x v="2"/>
    <x v="0"/>
    <n v="7.8712328767123285"/>
    <s v="part time"/>
  </r>
  <r>
    <x v="114"/>
    <s v="Katya"/>
    <s v="Hundy"/>
    <x v="0"/>
    <x v="1"/>
    <n v="88511.17"/>
    <s v="50k to 100k"/>
    <d v="2020-04-29T00:00:00"/>
    <n v="1"/>
    <x v="0"/>
    <x v="4"/>
    <n v="6.2931506849315069"/>
    <s v="Full time"/>
  </r>
  <r>
    <x v="115"/>
    <s v=""/>
    <s v="Jamesy"/>
    <x v="0"/>
    <x v="8"/>
    <n v="36547.58"/>
    <s v="50k"/>
    <d v="2018-11-12T00:00:00"/>
    <n v="1"/>
    <x v="0"/>
    <x v="0"/>
    <n v="7.7561643835616438"/>
    <s v="Full time"/>
  </r>
  <r>
    <x v="116"/>
    <s v="Anjushri"/>
    <s v="Chandiramani"/>
    <x v="0"/>
    <x v="8"/>
    <n v="95954.02"/>
    <s v="50k to 100k"/>
    <d v="2019-04-12T00:00:00"/>
    <n v="0.3"/>
    <x v="0"/>
    <x v="2"/>
    <n v="7.3424657534246576"/>
    <s v="part time"/>
  </r>
  <r>
    <x v="117"/>
    <s v="Krishnakanta"/>
    <s v="Vellanki"/>
    <x v="1"/>
    <x v="3"/>
    <n v="95677.9"/>
    <s v="50k to 100k"/>
    <d v="2021-07-19T00:00:00"/>
    <n v="0.3"/>
    <x v="0"/>
    <x v="6"/>
    <n v="5.0712328767123287"/>
    <s v="part time"/>
  </r>
  <r>
    <x v="118"/>
    <s v="Dhruv"/>
    <s v="Manjunath"/>
    <x v="1"/>
    <x v="8"/>
    <n v="76303.820000000007"/>
    <s v="50k to 100k"/>
    <d v="2018-12-24T00:00:00"/>
    <n v="1"/>
    <x v="1"/>
    <x v="2"/>
    <n v="7.6410958904109592"/>
    <s v="Full time"/>
  </r>
  <r>
    <x v="119"/>
    <s v="Granny"/>
    <s v="Spencelayh"/>
    <x v="0"/>
    <x v="11"/>
    <n v="99460.78"/>
    <s v="50k to 100k"/>
    <d v="2020-05-05T00:00:00"/>
    <n v="1"/>
    <x v="0"/>
    <x v="0"/>
    <n v="6.2767123287671236"/>
    <s v="Full time"/>
  </r>
  <r>
    <x v="120"/>
    <s v="Barbara-anne"/>
    <s v="Kenchington"/>
    <x v="1"/>
    <x v="4"/>
    <n v="88034.67"/>
    <s v="50k to 100k"/>
    <d v="2019-07-23T00:00:00"/>
    <n v="1"/>
    <x v="0"/>
    <x v="0"/>
    <n v="7.0630136986301366"/>
    <s v="Full time"/>
  </r>
  <r>
    <x v="121"/>
    <s v="Calvin"/>
    <s v="O'Carroll"/>
    <x v="1"/>
    <x v="6"/>
    <n v="44447.26"/>
    <s v="50k"/>
    <d v="2020-01-16T00:00:00"/>
    <n v="0.4"/>
    <x v="0"/>
    <x v="1"/>
    <n v="6.5780821917808217"/>
    <s v="part time"/>
  </r>
  <r>
    <x v="122"/>
    <s v="Vanmala"/>
    <s v="Shriharsha"/>
    <x v="0"/>
    <x v="10"/>
    <n v="40445.29"/>
    <s v="50k"/>
    <d v="2021-07-16T00:00:00"/>
    <n v="1"/>
    <x v="0"/>
    <x v="6"/>
    <n v="5.0794520547945208"/>
    <s v="Full time"/>
  </r>
  <r>
    <x v="123"/>
    <s v="Sameer"/>
    <s v="Shashank"/>
    <x v="1"/>
    <x v="6"/>
    <n v="92336.08"/>
    <s v="50k to 100k"/>
    <d v="2021-08-23T00:00:00"/>
    <n v="1"/>
    <x v="0"/>
    <x v="2"/>
    <n v="4.9753424657534246"/>
    <s v="Full time"/>
  </r>
  <r>
    <x v="124"/>
    <s v="Barr"/>
    <s v="Faughny"/>
    <x v="1"/>
    <x v="5"/>
    <n v="68008.55"/>
    <s v="50k to 100k"/>
    <d v="2020-08-19T00:00:00"/>
    <n v="1"/>
    <x v="0"/>
    <x v="5"/>
    <n v="5.9863013698630141"/>
    <s v="Full time"/>
  </r>
  <r>
    <x v="125"/>
    <s v="Anumati"/>
    <s v="Shyamari"/>
    <x v="0"/>
    <x v="10"/>
    <n v="74924.649999999994"/>
    <s v="50k to 100k"/>
    <d v="2021-02-12T00:00:00"/>
    <n v="1"/>
    <x v="0"/>
    <x v="2"/>
    <n v="5.5013698630136982"/>
    <s v="Full time"/>
  </r>
  <r>
    <x v="126"/>
    <s v=""/>
    <s v="Fred"/>
    <x v="0"/>
    <x v="2"/>
    <n v="88689.09"/>
    <s v="50k to 100k"/>
    <d v="2019-10-02T00:00:00"/>
    <n v="1"/>
    <x v="0"/>
    <x v="1"/>
    <n v="6.8684931506849312"/>
    <s v="Full time"/>
  </r>
  <r>
    <x v="127"/>
    <s v="Tarala"/>
    <s v="Vishaal"/>
    <x v="1"/>
    <x v="6"/>
    <n v="96555.53"/>
    <s v="50k to 100k"/>
    <d v="2019-01-24T00:00:00"/>
    <n v="0.2"/>
    <x v="2"/>
    <x v="2"/>
    <n v="7.5561643835616437"/>
    <s v="part time"/>
  </r>
  <r>
    <x v="128"/>
    <s v="Shubhra"/>
    <s v="Potla"/>
    <x v="1"/>
    <x v="4"/>
    <n v="71924.850000000006"/>
    <s v="50k to 100k"/>
    <d v="2019-12-23T00:00:00"/>
    <n v="1"/>
    <x v="0"/>
    <x v="6"/>
    <n v="6.6438356164383565"/>
    <s v="Full time"/>
  </r>
  <r>
    <x v="129"/>
    <s v="Mabel"/>
    <s v="Orrow"/>
    <x v="0"/>
    <x v="10"/>
    <n v="31241.24"/>
    <s v="50k"/>
    <d v="2019-09-17T00:00:00"/>
    <n v="1"/>
    <x v="0"/>
    <x v="0"/>
    <n v="6.9095890410958907"/>
    <s v="Full time"/>
  </r>
  <r>
    <x v="130"/>
    <s v="Carlin"/>
    <s v="Demke"/>
    <x v="0"/>
    <x v="1"/>
    <n v="110042.37"/>
    <s v="above 100k"/>
    <d v="2020-03-24T00:00:00"/>
    <n v="1"/>
    <x v="0"/>
    <x v="4"/>
    <n v="6.3917808219178083"/>
    <s v="Full time"/>
  </r>
  <r>
    <x v="15"/>
    <s v="Hemavati"/>
    <s v="Muthiah"/>
    <x v="1"/>
    <x v="3"/>
    <n v="37902.35"/>
    <s v="50k"/>
    <d v="2019-12-24T00:00:00"/>
    <n v="1"/>
    <x v="0"/>
    <x v="6"/>
    <n v="6.6410958904109592"/>
    <s v="Full time"/>
  </r>
  <r>
    <x v="131"/>
    <s v="Krittika"/>
    <s v="Gaekwad"/>
    <x v="1"/>
    <x v="1"/>
    <n v="33031.26"/>
    <s v="50k"/>
    <d v="2019-01-03T00:00:00"/>
    <n v="0.4"/>
    <x v="0"/>
    <x v="2"/>
    <n v="7.6136986301369864"/>
    <s v="part time"/>
  </r>
  <r>
    <x v="132"/>
    <s v="Adey"/>
    <s v="Ryal"/>
    <x v="1"/>
    <x v="11"/>
    <n v="32496.880000000001"/>
    <s v="50k"/>
    <d v="2018-05-14T00:00:00"/>
    <n v="1"/>
    <x v="2"/>
    <x v="0"/>
    <n v="8.2547945205479447"/>
    <s v="Full time"/>
  </r>
  <r>
    <x v="133"/>
    <s v="Evanne"/>
    <s v=""/>
    <x v="1"/>
    <x v="2"/>
    <n v="81897.789999999994"/>
    <s v="50k to 100k"/>
    <d v="2018-02-15T00:00:00"/>
    <n v="1"/>
    <x v="0"/>
    <x v="5"/>
    <n v="8.4958904109589035"/>
    <s v="Full time"/>
  </r>
  <r>
    <x v="134"/>
    <s v="Syd"/>
    <s v="Fearn"/>
    <x v="0"/>
    <x v="0"/>
    <n v="108872.77"/>
    <s v="above 100k"/>
    <d v="2019-02-25T00:00:00"/>
    <n v="1"/>
    <x v="0"/>
    <x v="0"/>
    <n v="7.4684931506849317"/>
    <s v="Full time"/>
  </r>
  <r>
    <x v="135"/>
    <s v="Cara"/>
    <s v="Havers"/>
    <x v="0"/>
    <x v="5"/>
    <n v="89605.13"/>
    <s v="50k to 100k"/>
    <d v="2018-06-07T00:00:00"/>
    <n v="1"/>
    <x v="0"/>
    <x v="1"/>
    <n v="8.1890410958904116"/>
    <s v="Full time"/>
  </r>
  <r>
    <x v="136"/>
    <s v="Egor"/>
    <s v="Minto"/>
    <x v="2"/>
    <x v="11"/>
    <n v="63447.07"/>
    <s v="50k to 100k"/>
    <d v="2020-11-13T00:00:00"/>
    <n v="1"/>
    <x v="2"/>
    <x v="3"/>
    <n v="5.7506849315068491"/>
    <s v="Full time"/>
  </r>
  <r>
    <x v="137"/>
    <s v="Theresita"/>
    <s v="Chasmer"/>
    <x v="1"/>
    <x v="10"/>
    <n v="106665.67"/>
    <s v="above 100k"/>
    <d v="2018-07-30T00:00:00"/>
    <n v="1"/>
    <x v="2"/>
    <x v="4"/>
    <n v="8.043835616438356"/>
    <s v="Full time"/>
  </r>
  <r>
    <x v="138"/>
    <s v="Collin"/>
    <s v="Jagson"/>
    <x v="0"/>
    <x v="2"/>
    <n v="100424.23"/>
    <s v="above 100k"/>
    <d v="2019-12-02T00:00:00"/>
    <n v="1"/>
    <x v="0"/>
    <x v="5"/>
    <n v="6.7013698630136984"/>
    <s v="Full time"/>
  </r>
  <r>
    <x v="139"/>
    <s v="Shevantilal"/>
    <s v="Muppala"/>
    <x v="0"/>
    <x v="2"/>
    <n v="47646.95"/>
    <s v="50k"/>
    <d v="2019-11-22T00:00:00"/>
    <n v="0.3"/>
    <x v="1"/>
    <x v="6"/>
    <n v="6.7287671232876711"/>
    <s v="part time"/>
  </r>
  <r>
    <x v="140"/>
    <s v="Shattesh"/>
    <s v="Utpat"/>
    <x v="0"/>
    <x v="11"/>
    <n v="28481.16"/>
    <s v="50k"/>
    <d v="2020-03-26T00:00:00"/>
    <n v="1"/>
    <x v="0"/>
    <x v="2"/>
    <n v="6.3863013698630136"/>
    <s v="Full time"/>
  </r>
  <r>
    <x v="141"/>
    <s v="Stan"/>
    <s v=""/>
    <x v="1"/>
    <x v="9"/>
    <n v="39535.49"/>
    <s v="50k"/>
    <d v="2018-10-24T00:00:00"/>
    <n v="0.3"/>
    <x v="0"/>
    <x v="0"/>
    <n v="7.8082191780821919"/>
    <s v="part time"/>
  </r>
  <r>
    <x v="142"/>
    <s v="Adela"/>
    <s v="Dowsett"/>
    <x v="0"/>
    <x v="4"/>
    <n v="95017.1"/>
    <s v="50k to 100k"/>
    <d v="2018-07-02T00:00:00"/>
    <n v="1"/>
    <x v="1"/>
    <x v="1"/>
    <n v="8.1205479452054803"/>
    <s v="Full time"/>
  </r>
  <r>
    <x v="143"/>
    <s v="Thedrick"/>
    <s v="Bothwell"/>
    <x v="0"/>
    <x v="1"/>
    <n v="69764.100000000006"/>
    <s v="50k to 100k"/>
    <d v="2020-12-30T00:00:00"/>
    <n v="1"/>
    <x v="1"/>
    <x v="1"/>
    <n v="5.6219178082191785"/>
    <s v="Full time"/>
  </r>
  <r>
    <x v="144"/>
    <s v="Letisha"/>
    <s v="Carrett"/>
    <x v="1"/>
    <x v="9"/>
    <n v="84598.88"/>
    <s v="50k to 100k"/>
    <d v="2020-10-12T00:00:00"/>
    <n v="1"/>
    <x v="1"/>
    <x v="1"/>
    <n v="5.838356164383562"/>
    <s v="Full time"/>
  </r>
  <r>
    <x v="145"/>
    <s v="Kamalakshi"/>
    <s v="Mukundan"/>
    <x v="0"/>
    <x v="0"/>
    <n v="36536.26"/>
    <s v="50k"/>
    <d v="2021-06-11T00:00:00"/>
    <n v="1"/>
    <x v="2"/>
    <x v="2"/>
    <n v="5.1753424657534248"/>
    <s v="Full time"/>
  </r>
  <r>
    <x v="146"/>
    <s v="Chandana"/>
    <s v="Sannidhi"/>
    <x v="1"/>
    <x v="1"/>
    <n v="61688.77"/>
    <s v="50k to 100k"/>
    <d v="2018-09-03T00:00:00"/>
    <n v="0.9"/>
    <x v="0"/>
    <x v="6"/>
    <n v="7.9479452054794519"/>
    <s v="part time"/>
  </r>
  <r>
    <x v="147"/>
    <s v="Indu"/>
    <s v="Varada"/>
    <x v="1"/>
    <x v="0"/>
    <n v="88425.08"/>
    <s v="50k to 100k"/>
    <d v="2019-07-16T00:00:00"/>
    <n v="1"/>
    <x v="0"/>
    <x v="2"/>
    <n v="7.0821917808219181"/>
    <s v="Full time"/>
  </r>
  <r>
    <x v="56"/>
    <s v="Karuna"/>
    <s v="Pashupathy"/>
    <x v="1"/>
    <x v="10"/>
    <n v="38438.239999999998"/>
    <s v="50k"/>
    <d v="2020-05-11T00:00:00"/>
    <n v="1"/>
    <x v="0"/>
    <x v="6"/>
    <n v="6.2602739726027394"/>
    <s v="Full time"/>
  </r>
  <r>
    <x v="148"/>
    <s v="Antonetta"/>
    <s v=""/>
    <x v="0"/>
    <x v="9"/>
    <n v="96753.78"/>
    <s v="50k to 100k"/>
    <d v="2021-10-25T00:00:00"/>
    <n v="1"/>
    <x v="0"/>
    <x v="5"/>
    <n v="4.8027397260273972"/>
    <s v="Full time"/>
  </r>
  <r>
    <x v="96"/>
    <s v="Lindy"/>
    <s v="Guillet"/>
    <x v="0"/>
    <x v="3"/>
    <n v="112778.28"/>
    <s v="above 100k"/>
    <d v="2018-05-30T00:00:00"/>
    <n v="1"/>
    <x v="1"/>
    <x v="0"/>
    <n v="8.2109589041095887"/>
    <s v="Full time"/>
  </r>
  <r>
    <x v="149"/>
    <s v="Wald"/>
    <s v="Bountiff"/>
    <x v="1"/>
    <x v="4"/>
    <n v="28974.03"/>
    <s v="50k"/>
    <d v="2019-09-25T00:00:00"/>
    <n v="1"/>
    <x v="0"/>
    <x v="5"/>
    <n v="6.8876712328767127"/>
    <s v="Full time"/>
  </r>
  <r>
    <x v="150"/>
    <s v="Mardav"/>
    <s v="Ramaswami"/>
    <x v="1"/>
    <x v="1"/>
    <n v="86233.83"/>
    <s v="50k to 100k"/>
    <d v="2019-08-29T00:00:00"/>
    <n v="1"/>
    <x v="1"/>
    <x v="6"/>
    <n v="6.9616438356164387"/>
    <s v="Full time"/>
  </r>
  <r>
    <x v="66"/>
    <s v="Felice"/>
    <s v="McMurty"/>
    <x v="1"/>
    <x v="10"/>
    <n v="66865.490000000005"/>
    <s v="50k to 100k"/>
    <d v="2019-02-18T00:00:00"/>
    <n v="1"/>
    <x v="0"/>
    <x v="1"/>
    <n v="7.4876712328767123"/>
    <s v="Full time"/>
  </r>
  <r>
    <x v="151"/>
    <s v="Edd"/>
    <s v=""/>
    <x v="0"/>
    <x v="8"/>
    <n v="119022.49"/>
    <s v="above 100k"/>
    <d v="2021-08-23T00:00:00"/>
    <n v="1"/>
    <x v="0"/>
    <x v="5"/>
    <n v="4.9753424657534246"/>
    <s v="Full time"/>
  </r>
  <r>
    <x v="152"/>
    <s v="Hogan"/>
    <s v="Iles"/>
    <x v="1"/>
    <x v="8"/>
    <n v="114177.23"/>
    <s v="above 100k"/>
    <d v="2020-03-18T00:00:00"/>
    <n v="1"/>
    <x v="0"/>
    <x v="3"/>
    <n v="6.4082191780821915"/>
    <s v="Full time"/>
  </r>
  <r>
    <x v="153"/>
    <s v="Robinia"/>
    <s v="Scholling"/>
    <x v="1"/>
    <x v="7"/>
    <n v="100731.95"/>
    <s v="above 100k"/>
    <d v="2020-04-15T00:00:00"/>
    <n v="1"/>
    <x v="0"/>
    <x v="5"/>
    <n v="6.3315068493150681"/>
    <s v="Full time"/>
  </r>
  <r>
    <x v="154"/>
    <s v="Sarayu"/>
    <s v="Ragunathan"/>
    <x v="1"/>
    <x v="3"/>
    <n v="86010.54"/>
    <s v="50k to 100k"/>
    <d v="2018-03-05T00:00:00"/>
    <n v="1"/>
    <x v="0"/>
    <x v="6"/>
    <n v="8.4465753424657528"/>
    <s v="Full time"/>
  </r>
  <r>
    <x v="155"/>
    <s v="Kevalkumar"/>
    <s v="Solanki"/>
    <x v="0"/>
    <x v="8"/>
    <n v="52270.22"/>
    <s v="50k to 100k"/>
    <d v="2019-02-25T00:00:00"/>
    <n v="0.3"/>
    <x v="0"/>
    <x v="6"/>
    <n v="7.4684931506849317"/>
    <s v="part time"/>
  </r>
  <r>
    <x v="156"/>
    <s v="Upendra"/>
    <s v="Swati"/>
    <x v="0"/>
    <x v="0"/>
    <n v="61624.77"/>
    <s v="50k to 100k"/>
    <d v="2018-11-26T00:00:00"/>
    <n v="0.3"/>
    <x v="1"/>
    <x v="2"/>
    <n v="7.7178082191780826"/>
    <s v="part time"/>
  </r>
  <r>
    <x v="157"/>
    <s v="Deepit"/>
    <s v="Ranjana"/>
    <x v="1"/>
    <x v="5"/>
    <n v="104903.79"/>
    <s v="above 100k"/>
    <d v="2019-07-03T00:00:00"/>
    <n v="1"/>
    <x v="0"/>
    <x v="6"/>
    <n v="7.117808219178082"/>
    <s v="Full time"/>
  </r>
  <r>
    <x v="64"/>
    <s v="Inge"/>
    <s v="Creer"/>
    <x v="1"/>
    <x v="2"/>
    <n v="69057.320000000007"/>
    <s v="50k to 100k"/>
    <d v="2018-10-17T00:00:00"/>
    <n v="1"/>
    <x v="0"/>
    <x v="3"/>
    <n v="7.8273972602739725"/>
    <s v="Full time"/>
  </r>
  <r>
    <x v="95"/>
    <s v="Caresa"/>
    <s v="Christer"/>
    <x v="0"/>
    <x v="4"/>
    <n v="59258.19"/>
    <s v="50k to 100k"/>
    <d v="2018-12-18T00:00:00"/>
    <n v="0.8"/>
    <x v="0"/>
    <x v="1"/>
    <n v="7.6575342465753424"/>
    <s v="part time"/>
  </r>
  <r>
    <x v="158"/>
    <s v="Edi"/>
    <s v=""/>
    <x v="0"/>
    <x v="6"/>
    <n v="28160.79"/>
    <s v="50k"/>
    <d v="2018-01-29T00:00:00"/>
    <n v="1"/>
    <x v="2"/>
    <x v="0"/>
    <n v="8.5424657534246577"/>
    <s v="Full time"/>
  </r>
  <r>
    <x v="159"/>
    <s v="Revkah"/>
    <s v="Antonacci"/>
    <x v="0"/>
    <x v="0"/>
    <n v="109143.17"/>
    <s v="above 100k"/>
    <d v="2020-04-24T00:00:00"/>
    <n v="1"/>
    <x v="0"/>
    <x v="3"/>
    <n v="6.3068493150684928"/>
    <s v="Full time"/>
  </r>
  <r>
    <x v="160"/>
    <s v="Amal"/>
    <s v="Nimesh"/>
    <x v="1"/>
    <x v="5"/>
    <n v="70755.5"/>
    <s v="50k to 100k"/>
    <d v="2020-09-16T00:00:00"/>
    <n v="0.8"/>
    <x v="2"/>
    <x v="2"/>
    <n v="5.9095890410958907"/>
    <s v="part time"/>
  </r>
  <r>
    <x v="32"/>
    <s v="Renaldo"/>
    <s v="Thomassin"/>
    <x v="0"/>
    <x v="1"/>
    <n v="73360.38"/>
    <s v="50k to 100k"/>
    <d v="2020-05-21T00:00:00"/>
    <n v="1"/>
    <x v="2"/>
    <x v="0"/>
    <n v="6.2328767123287667"/>
    <s v="Full time"/>
  </r>
  <r>
    <x v="118"/>
    <s v="Kunja"/>
    <s v="Prashanta"/>
    <x v="1"/>
    <x v="8"/>
    <n v="76303.820000000007"/>
    <s v="50k to 100k"/>
    <d v="2018-12-24T00:00:00"/>
    <n v="1"/>
    <x v="1"/>
    <x v="2"/>
    <n v="7.6410958904109592"/>
    <s v="Full time"/>
  </r>
  <r>
    <x v="161"/>
    <s v="Iris"/>
    <s v=""/>
    <x v="1"/>
    <x v="0"/>
    <n v="58861.19"/>
    <s v="50k to 100k"/>
    <d v="2019-07-08T00:00:00"/>
    <n v="1"/>
    <x v="0"/>
    <x v="4"/>
    <n v="7.1041095890410961"/>
    <s v="Full time"/>
  </r>
  <r>
    <x v="162"/>
    <s v="Malory"/>
    <s v="Biles"/>
    <x v="1"/>
    <x v="3"/>
    <n v="58744.17"/>
    <s v="50k to 100k"/>
    <d v="2018-03-12T00:00:00"/>
    <n v="1"/>
    <x v="2"/>
    <x v="4"/>
    <n v="8.4273972602739722"/>
    <s v="Full time"/>
  </r>
  <r>
    <x v="163"/>
    <s v="Lea"/>
    <s v="Chaplin"/>
    <x v="1"/>
    <x v="7"/>
    <n v="73488.679999999993"/>
    <s v="50k to 100k"/>
    <d v="2019-04-15T00:00:00"/>
    <n v="1"/>
    <x v="1"/>
    <x v="1"/>
    <n v="7.3342465753424655"/>
    <s v="Full time"/>
  </r>
  <r>
    <x v="164"/>
    <s v="Hinda"/>
    <s v="Label"/>
    <x v="1"/>
    <x v="7"/>
    <n v="92704.48"/>
    <s v="50k to 100k"/>
    <d v="2018-11-26T00:00:00"/>
    <n v="1"/>
    <x v="1"/>
    <x v="4"/>
    <n v="7.7178082191780826"/>
    <s v="Full time"/>
  </r>
  <r>
    <x v="165"/>
    <s v="Godavari"/>
    <s v="Veena"/>
    <x v="0"/>
    <x v="0"/>
    <n v="78443.78"/>
    <s v="50k to 100k"/>
    <d v="2019-05-14T00:00:00"/>
    <n v="1"/>
    <x v="1"/>
    <x v="2"/>
    <n v="7.2547945205479456"/>
    <s v="Full time"/>
  </r>
  <r>
    <x v="166"/>
    <s v="Eleonore"/>
    <s v="Airdrie"/>
    <x v="1"/>
    <x v="0"/>
    <n v="97105.19"/>
    <s v="50k to 100k"/>
    <d v="2021-08-17T00:00:00"/>
    <n v="1"/>
    <x v="0"/>
    <x v="4"/>
    <n v="4.9917808219178079"/>
    <s v="Full time"/>
  </r>
  <r>
    <x v="167"/>
    <s v="Rafaelita"/>
    <s v="Blaksland"/>
    <x v="1"/>
    <x v="2"/>
    <n v="109163.39"/>
    <s v="above 100k"/>
    <d v="2020-07-07T00:00:00"/>
    <n v="0.8"/>
    <x v="0"/>
    <x v="1"/>
    <n v="6.1041095890410961"/>
    <s v="part time"/>
  </r>
  <r>
    <x v="168"/>
    <s v="Bendite"/>
    <s v=""/>
    <x v="0"/>
    <x v="5"/>
    <n v="31816.57"/>
    <s v="50k"/>
    <d v="2019-02-01T00:00:00"/>
    <n v="0.3"/>
    <x v="1"/>
    <x v="0"/>
    <n v="7.5342465753424657"/>
    <s v="part time"/>
  </r>
  <r>
    <x v="169"/>
    <s v="Sidoney"/>
    <s v="Yitzhok"/>
    <x v="1"/>
    <x v="0"/>
    <n v="118442.54"/>
    <s v="above 100k"/>
    <d v="2020-12-28T00:00:00"/>
    <n v="1"/>
    <x v="0"/>
    <x v="5"/>
    <n v="5.6273972602739724"/>
    <s v="Full time"/>
  </r>
  <r>
    <x v="170"/>
    <s v="Vaughn"/>
    <s v="Carvill"/>
    <x v="1"/>
    <x v="3"/>
    <n v="84745.93"/>
    <s v="50k to 100k"/>
    <d v="2019-08-30T00:00:00"/>
    <n v="1"/>
    <x v="0"/>
    <x v="3"/>
    <n v="6.9589041095890414"/>
    <s v="Full time"/>
  </r>
  <r>
    <x v="38"/>
    <s v="Grady"/>
    <s v="Rochelle"/>
    <x v="1"/>
    <x v="8"/>
    <n v="69163.39"/>
    <s v="50k to 100k"/>
    <d v="2018-10-24T00:00:00"/>
    <n v="1"/>
    <x v="0"/>
    <x v="0"/>
    <n v="7.8082191780821919"/>
    <s v="Full time"/>
  </r>
  <r>
    <x v="144"/>
    <s v="Letisha"/>
    <s v="Carrett"/>
    <x v="1"/>
    <x v="9"/>
    <n v="84598.88"/>
    <s v="50k to 100k"/>
    <d v="2020-10-12T00:00:00"/>
    <n v="1"/>
    <x v="1"/>
    <x v="1"/>
    <n v="5.838356164383562"/>
    <s v="Full time"/>
  </r>
  <r>
    <x v="171"/>
    <s v="Melva"/>
    <s v=""/>
    <x v="1"/>
    <x v="10"/>
    <n v="68795.48"/>
    <s v="50k to 100k"/>
    <d v="2021-03-22T00:00:00"/>
    <n v="0.2"/>
    <x v="0"/>
    <x v="0"/>
    <n v="5.397260273972603"/>
    <s v="part time"/>
  </r>
  <r>
    <x v="172"/>
    <s v="Austine"/>
    <s v="Littlewood"/>
    <x v="1"/>
    <x v="2"/>
    <n v="32269.91"/>
    <s v="50k"/>
    <d v="2018-09-03T00:00:00"/>
    <n v="1"/>
    <x v="0"/>
    <x v="0"/>
    <n v="7.9479452054794519"/>
    <s v="Full time"/>
  </r>
  <r>
    <x v="173"/>
    <s v="Ruby"/>
    <s v="Cracie"/>
    <x v="0"/>
    <x v="6"/>
    <n v="78705.929999999993"/>
    <s v="50k to 100k"/>
    <d v="2018-11-05T00:00:00"/>
    <n v="1"/>
    <x v="1"/>
    <x v="1"/>
    <n v="7.7753424657534245"/>
    <s v="Full time"/>
  </r>
  <r>
    <x v="174"/>
    <s v="Zach"/>
    <s v="Polon"/>
    <x v="0"/>
    <x v="5"/>
    <n v="53535.62"/>
    <s v="50k to 100k"/>
    <d v="2020-10-06T00:00:00"/>
    <n v="0.5"/>
    <x v="1"/>
    <x v="1"/>
    <n v="5.8547945205479452"/>
    <s v="part time"/>
  </r>
  <r>
    <x v="175"/>
    <s v="Louise"/>
    <s v="Lamming"/>
    <x v="1"/>
    <x v="9"/>
    <n v="41934.71"/>
    <s v="50k"/>
    <d v="2019-11-11T00:00:00"/>
    <n v="1"/>
    <x v="0"/>
    <x v="0"/>
    <n v="6.7589041095890412"/>
    <s v="Full time"/>
  </r>
  <r>
    <x v="176"/>
    <s v="Tadio"/>
    <s v=""/>
    <x v="1"/>
    <x v="10"/>
    <n v="91929.69"/>
    <s v="50k to 100k"/>
    <d v="2020-09-11T00:00:00"/>
    <n v="1"/>
    <x v="1"/>
    <x v="0"/>
    <n v="5.9232876712328766"/>
    <s v="Full time"/>
  </r>
  <r>
    <x v="177"/>
    <s v="Larissa"/>
    <s v="Ingledow"/>
    <x v="0"/>
    <x v="6"/>
    <n v="62281.24"/>
    <s v="50k to 100k"/>
    <d v="2018-06-21T00:00:00"/>
    <n v="1"/>
    <x v="0"/>
    <x v="0"/>
    <n v="8.1506849315068486"/>
    <s v="Full time"/>
  </r>
  <r>
    <x v="178"/>
    <s v=""/>
    <s v="Yves"/>
    <x v="0"/>
    <x v="8"/>
    <n v="57925.91"/>
    <s v="50k to 100k"/>
    <d v="2019-04-17T00:00:00"/>
    <n v="0.5"/>
    <x v="0"/>
    <x v="3"/>
    <n v="7.3287671232876717"/>
    <s v="part time"/>
  </r>
  <r>
    <x v="179"/>
    <s v="Nonah"/>
    <s v="Bissell"/>
    <x v="0"/>
    <x v="0"/>
    <n v="82239.53"/>
    <s v="50k to 100k"/>
    <d v="2020-01-16T00:00:00"/>
    <n v="1"/>
    <x v="2"/>
    <x v="4"/>
    <n v="6.5780821917808217"/>
    <s v="Full time"/>
  </r>
  <r>
    <x v="180"/>
    <s v="Luca"/>
    <s v="Wolstenholme"/>
    <x v="0"/>
    <x v="0"/>
    <n v="53184.02"/>
    <s v="50k to 100k"/>
    <d v="2018-03-21T00:00:00"/>
    <n v="1"/>
    <x v="1"/>
    <x v="0"/>
    <n v="8.4027397260273968"/>
    <s v="Full time"/>
  </r>
  <r>
    <x v="181"/>
    <s v="Devasree"/>
    <s v="Fullara"/>
    <x v="0"/>
    <x v="8"/>
    <n v="35936.31"/>
    <s v="50k"/>
    <d v="2018-05-21T00:00:00"/>
    <n v="1"/>
    <x v="0"/>
    <x v="6"/>
    <n v="8.2356164383561641"/>
    <s v="Full time"/>
  </r>
  <r>
    <x v="182"/>
    <s v="Hephzibah"/>
    <s v="Summerell"/>
    <x v="1"/>
    <x v="2"/>
    <n v="28305.08"/>
    <s v="50k"/>
    <d v="2019-10-16T00:00:00"/>
    <n v="1"/>
    <x v="0"/>
    <x v="0"/>
    <n v="6.8301369863013699"/>
    <s v="Full time"/>
  </r>
  <r>
    <x v="183"/>
    <s v="Beryl"/>
    <s v="Burnsyde"/>
    <x v="0"/>
    <x v="11"/>
    <n v="29774.76"/>
    <s v="50k"/>
    <d v="2020-10-01T00:00:00"/>
    <n v="1"/>
    <x v="0"/>
    <x v="3"/>
    <n v="5.8684931506849312"/>
    <s v="Full time"/>
  </r>
  <r>
    <x v="184"/>
    <s v="Geena"/>
    <s v="Raghavanpillai"/>
    <x v="0"/>
    <x v="8"/>
    <n v="102515.81"/>
    <s v="above 100k"/>
    <d v="2020-03-12T00:00:00"/>
    <n v="1"/>
    <x v="1"/>
    <x v="6"/>
    <n v="6.4246575342465757"/>
    <s v="Full time"/>
  </r>
  <r>
    <x v="65"/>
    <s v="Tadio"/>
    <s v="Audritt"/>
    <x v="2"/>
    <x v="7"/>
    <n v="99448.78"/>
    <s v="50k to 100k"/>
    <d v="2019-01-08T00:00:00"/>
    <n v="1"/>
    <x v="1"/>
    <x v="3"/>
    <n v="7.6"/>
    <s v="Full time"/>
  </r>
  <r>
    <x v="171"/>
    <s v="Melva"/>
    <s v=""/>
    <x v="1"/>
    <x v="10"/>
    <n v="68795.48"/>
    <s v="50k to 100k"/>
    <d v="2021-03-22T00:00:00"/>
    <n v="0.2"/>
    <x v="0"/>
    <x v="0"/>
    <n v="5.397260273972603"/>
    <s v="part time"/>
  </r>
  <r>
    <x v="87"/>
    <s v="Janina"/>
    <s v="Wolverson"/>
    <x v="1"/>
    <x v="6"/>
    <n v="99683.67"/>
    <s v="50k to 100k"/>
    <d v="2019-02-04T00:00:00"/>
    <n v="1"/>
    <x v="1"/>
    <x v="1"/>
    <n v="7.5260273972602736"/>
    <s v="Full time"/>
  </r>
  <r>
    <x v="185"/>
    <s v="Brad"/>
    <s v="Gumb"/>
    <x v="0"/>
    <x v="8"/>
    <n v="38825.18"/>
    <s v="50k"/>
    <d v="2019-08-19T00:00:00"/>
    <n v="1"/>
    <x v="2"/>
    <x v="0"/>
    <n v="6.9890410958904106"/>
    <s v="Full time"/>
  </r>
  <r>
    <x v="186"/>
    <s v="Rupak"/>
    <s v="Mehra"/>
    <x v="1"/>
    <x v="2"/>
    <n v="71229.42"/>
    <s v="50k to 100k"/>
    <d v="2020-12-01T00:00:00"/>
    <n v="1"/>
    <x v="0"/>
    <x v="2"/>
    <n v="5.7013698630136984"/>
    <s v="Full time"/>
  </r>
  <r>
    <x v="187"/>
    <s v="Van"/>
    <s v="Tuxwell"/>
    <x v="1"/>
    <x v="1"/>
    <n v="80695.740000000005"/>
    <s v="50k to 100k"/>
    <d v="2018-09-17T00:00:00"/>
    <n v="1"/>
    <x v="0"/>
    <x v="4"/>
    <n v="7.9095890410958907"/>
    <s v="Full time"/>
  </r>
  <r>
    <x v="188"/>
    <s v="Addi"/>
    <s v="Studdeard"/>
    <x v="1"/>
    <x v="10"/>
    <n v="72502.61"/>
    <s v="50k to 100k"/>
    <d v="2021-02-08T00:00:00"/>
    <n v="1"/>
    <x v="0"/>
    <x v="3"/>
    <n v="5.5123287671232877"/>
    <s v="Full time"/>
  </r>
  <r>
    <x v="189"/>
    <s v="Joyce"/>
    <s v="Leyband"/>
    <x v="1"/>
    <x v="10"/>
    <n v="68197.899999999994"/>
    <s v="50k to 100k"/>
    <d v="2020-10-15T00:00:00"/>
    <n v="1"/>
    <x v="0"/>
    <x v="5"/>
    <n v="5.8301369863013699"/>
    <s v="Full time"/>
  </r>
  <r>
    <x v="190"/>
    <s v="Adolph"/>
    <s v=""/>
    <x v="0"/>
    <x v="10"/>
    <n v="89960.6"/>
    <s v="50k to 100k"/>
    <d v="2019-02-19T00:00:00"/>
    <n v="1"/>
    <x v="1"/>
    <x v="5"/>
    <n v="7.484931506849315"/>
    <s v="Full time"/>
  </r>
  <r>
    <x v="140"/>
    <s v="Sawini"/>
    <s v="Chandan"/>
    <x v="0"/>
    <x v="11"/>
    <n v="28481.16"/>
    <s v="50k"/>
    <d v="2020-03-26T00:00:00"/>
    <n v="1"/>
    <x v="0"/>
    <x v="2"/>
    <n v="6.3863013698630136"/>
    <s v="Full time"/>
  </r>
  <r>
    <x v="53"/>
    <s v="Baruna"/>
    <s v="Ogale"/>
    <x v="1"/>
    <x v="3"/>
    <n v="116767.63"/>
    <s v="above 100k"/>
    <d v="2020-04-28T00:00:00"/>
    <n v="0.4"/>
    <x v="2"/>
    <x v="6"/>
    <n v="6.2958904109589042"/>
    <s v="part time"/>
  </r>
  <r>
    <x v="191"/>
    <s v="Fonzie"/>
    <s v="O'Shea"/>
    <x v="0"/>
    <x v="10"/>
    <n v="80360.41"/>
    <s v="50k to 100k"/>
    <d v="2020-12-02T00:00:00"/>
    <n v="1"/>
    <x v="0"/>
    <x v="0"/>
    <n v="5.6986301369863011"/>
    <s v="Full time"/>
  </r>
  <r>
    <x v="192"/>
    <s v="Rodina"/>
    <s v="Drinan"/>
    <x v="1"/>
    <x v="9"/>
    <n v="77045.440000000002"/>
    <s v="50k to 100k"/>
    <d v="2019-06-20T00:00:00"/>
    <n v="1"/>
    <x v="0"/>
    <x v="0"/>
    <n v="7.1534246575342468"/>
    <s v="Full time"/>
  </r>
  <r>
    <x v="193"/>
    <s v="Torrance"/>
    <s v=""/>
    <x v="1"/>
    <x v="3"/>
    <n v="96135.75"/>
    <s v="50k to 100k"/>
    <d v="2020-07-13T00:00:00"/>
    <n v="0.3"/>
    <x v="0"/>
    <x v="3"/>
    <n v="6.087671232876712"/>
    <s v="part time"/>
  </r>
  <r>
    <x v="194"/>
    <s v="Freda"/>
    <s v="Legan"/>
    <x v="1"/>
    <x v="9"/>
    <n v="102129.37"/>
    <s v="above 100k"/>
    <d v="2021-07-19T00:00:00"/>
    <n v="1"/>
    <x v="0"/>
    <x v="4"/>
    <n v="5.0712328767123287"/>
    <s v="Full time"/>
  </r>
  <r>
    <x v="195"/>
    <s v="Bernie"/>
    <s v="Gorges"/>
    <x v="1"/>
    <x v="3"/>
    <n v="99965.97"/>
    <s v="50k to 100k"/>
    <d v="2018-02-02T00:00:00"/>
    <n v="1"/>
    <x v="0"/>
    <x v="0"/>
    <n v="8.5315068493150683"/>
    <s v="Full time"/>
  </r>
  <r>
    <x v="196"/>
    <s v="Violante"/>
    <s v="Courtonne"/>
    <x v="1"/>
    <x v="10"/>
    <n v="49625.64"/>
    <s v="50k"/>
    <d v="2021-07-07T00:00:00"/>
    <n v="0.5"/>
    <x v="1"/>
    <x v="0"/>
    <n v="5.1041095890410961"/>
    <s v="part time"/>
  </r>
  <r>
    <x v="197"/>
    <s v="Jeannie"/>
    <s v="Petracco"/>
    <x v="1"/>
    <x v="0"/>
    <n v="94815.28"/>
    <s v="50k to 100k"/>
    <d v="2018-12-06T00:00:00"/>
    <n v="1"/>
    <x v="0"/>
    <x v="1"/>
    <n v="7.6904109589041099"/>
    <s v="Full time"/>
  </r>
  <r>
    <x v="198"/>
    <s v="Jagajeet"/>
    <s v="Viraj"/>
    <x v="0"/>
    <x v="4"/>
    <n v="36714.379999999997"/>
    <s v="50k"/>
    <d v="2020-12-10T00:00:00"/>
    <n v="1"/>
    <x v="0"/>
    <x v="6"/>
    <n v="5.6767123287671231"/>
    <s v="Full time"/>
  </r>
  <r>
    <x v="199"/>
    <s v="Husein"/>
    <s v="Augar"/>
    <x v="1"/>
    <x v="5"/>
    <n v="67905.8"/>
    <s v="50k to 100k"/>
    <d v="2020-12-29T00:00:00"/>
    <n v="1"/>
    <x v="0"/>
    <x v="0"/>
    <n v="5.624657534246575"/>
    <s v="Full time"/>
  </r>
  <r>
    <x v="200"/>
    <s v="Alida"/>
    <s v="Welman"/>
    <x v="0"/>
    <x v="7"/>
    <n v="69862.38"/>
    <s v="50k to 100k"/>
    <d v="2018-12-24T00:00:00"/>
    <n v="1"/>
    <x v="0"/>
    <x v="3"/>
    <n v="7.6410958904109592"/>
    <s v="Full time"/>
  </r>
  <r>
    <x v="115"/>
    <s v=""/>
    <s v="Jamesy"/>
    <x v="0"/>
    <x v="8"/>
    <n v="36547.58"/>
    <s v="50k"/>
    <d v="2018-11-12T00:00:00"/>
    <n v="1"/>
    <x v="0"/>
    <x v="0"/>
    <n v="7.7561643835616438"/>
    <s v="Full time"/>
  </r>
  <r>
    <x v="201"/>
    <s v="Kulbhushan"/>
    <s v="Moorthy"/>
    <x v="0"/>
    <x v="1"/>
    <n v="106400.02"/>
    <s v="above 100k"/>
    <d v="2020-07-09T00:00:00"/>
    <n v="1"/>
    <x v="2"/>
    <x v="6"/>
    <n v="6.0986301369863014"/>
    <s v="Full time"/>
  </r>
  <r>
    <x v="202"/>
    <s v="Anni"/>
    <s v="Izzard"/>
    <x v="0"/>
    <x v="7"/>
    <n v="103494.94"/>
    <s v="above 100k"/>
    <d v="2018-06-05T00:00:00"/>
    <n v="1"/>
    <x v="0"/>
    <x v="0"/>
    <n v="8.1945205479452063"/>
    <s v="Full time"/>
  </r>
  <r>
    <x v="148"/>
    <s v="Antonetta"/>
    <s v=""/>
    <x v="0"/>
    <x v="9"/>
    <n v="96753.78"/>
    <s v="50k to 100k"/>
    <d v="2021-10-25T00:00:00"/>
    <n v="1"/>
    <x v="0"/>
    <x v="5"/>
    <n v="4.8027397260273972"/>
    <s v="Full time"/>
  </r>
  <r>
    <x v="187"/>
    <s v="Van"/>
    <s v="Tuxwell"/>
    <x v="1"/>
    <x v="1"/>
    <n v="80695.740000000005"/>
    <s v="50k to 100k"/>
    <d v="2018-09-17T00:00:00"/>
    <n v="1"/>
    <x v="0"/>
    <x v="4"/>
    <n v="7.9095890410958907"/>
    <s v="Full time"/>
  </r>
  <r>
    <x v="203"/>
    <s v="Ilesh"/>
    <s v="Dasgupta"/>
    <x v="1"/>
    <x v="11"/>
    <n v="61213.01"/>
    <s v="50k to 100k"/>
    <d v="2021-06-18T00:00:00"/>
    <n v="1"/>
    <x v="0"/>
    <x v="6"/>
    <n v="5.1561643835616442"/>
    <s v="Full time"/>
  </r>
  <r>
    <x v="204"/>
    <s v="Madhumati"/>
    <s v="Gazala"/>
    <x v="0"/>
    <x v="6"/>
    <n v="69709.509999999995"/>
    <s v="50k to 100k"/>
    <d v="2019-01-07T00:00:00"/>
    <n v="1"/>
    <x v="0"/>
    <x v="2"/>
    <n v="7.602739726027397"/>
    <s v="Full time"/>
  </r>
  <r>
    <x v="205"/>
    <s v="Chitrasen"/>
    <s v="Laul"/>
    <x v="1"/>
    <x v="6"/>
    <n v="46751.7"/>
    <s v="50k"/>
    <d v="2020-01-13T00:00:00"/>
    <n v="1"/>
    <x v="1"/>
    <x v="2"/>
    <n v="6.5863013698630137"/>
    <s v="Full time"/>
  </r>
  <r>
    <x v="206"/>
    <s v="Jaishree"/>
    <s v="Atasi"/>
    <x v="0"/>
    <x v="2"/>
    <n v="77096.05"/>
    <s v="50k to 100k"/>
    <d v="2018-04-27T00:00:00"/>
    <n v="1"/>
    <x v="0"/>
    <x v="6"/>
    <n v="8.3013698630136989"/>
    <s v="Full time"/>
  </r>
  <r>
    <x v="46"/>
    <s v="Doe"/>
    <s v="Clubley"/>
    <x v="1"/>
    <x v="10"/>
    <n v="67818.14"/>
    <s v="50k to 100k"/>
    <d v="2018-11-02T00:00:00"/>
    <n v="0.6"/>
    <x v="1"/>
    <x v="0"/>
    <n v="7.7835616438356166"/>
    <s v="part time"/>
  </r>
  <r>
    <x v="207"/>
    <s v="Kantimoy"/>
    <s v="Pritish"/>
    <x v="0"/>
    <x v="10"/>
    <n v="77743.149999999994"/>
    <s v="50k to 100k"/>
    <d v="2020-03-30T00:00:00"/>
    <n v="1"/>
    <x v="0"/>
    <x v="6"/>
    <n v="6.375342465753425"/>
    <s v="Full time"/>
  </r>
  <r>
    <x v="208"/>
    <s v="Rameshwari"/>
    <s v="Chikodi"/>
    <x v="0"/>
    <x v="7"/>
    <n v="48525.71"/>
    <s v="50k"/>
    <d v="2018-06-13T00:00:00"/>
    <n v="1"/>
    <x v="0"/>
    <x v="2"/>
    <n v="8.1726027397260275"/>
    <s v="Full time"/>
  </r>
  <r>
    <x v="202"/>
    <s v="Anni"/>
    <s v="Izzard"/>
    <x v="0"/>
    <x v="7"/>
    <n v="103494.94"/>
    <s v="above 100k"/>
    <d v="2018-06-05T00:00:00"/>
    <n v="1"/>
    <x v="0"/>
    <x v="0"/>
    <n v="8.1945205479452063"/>
    <s v="Full time"/>
  </r>
  <r>
    <x v="201"/>
    <s v="Lalit"/>
    <s v="Kothari"/>
    <x v="0"/>
    <x v="1"/>
    <n v="106400.02"/>
    <s v="above 100k"/>
    <d v="2020-07-09T00:00:00"/>
    <n v="1"/>
    <x v="2"/>
    <x v="6"/>
    <n v="6.0986301369863014"/>
    <s v="Full time"/>
  </r>
  <r>
    <x v="209"/>
    <s v="Hali"/>
    <s v="Behnecke"/>
    <x v="0"/>
    <x v="7"/>
    <n v="65569.36"/>
    <s v="50k to 100k"/>
    <d v="2018-07-12T00:00:00"/>
    <n v="1"/>
    <x v="1"/>
    <x v="5"/>
    <n v="8.0931506849315067"/>
    <s v="Full time"/>
  </r>
  <r>
    <x v="122"/>
    <s v="Sahas"/>
    <s v="Sanabhi"/>
    <x v="0"/>
    <x v="10"/>
    <n v="40445.29"/>
    <s v="50k"/>
    <d v="2021-07-16T00:00:00"/>
    <n v="1"/>
    <x v="0"/>
    <x v="6"/>
    <n v="5.0794520547945208"/>
    <s v="Full time"/>
  </r>
  <r>
    <x v="210"/>
    <s v="Gwenneth"/>
    <s v="Fealey"/>
    <x v="1"/>
    <x v="0"/>
    <n v="114772.32"/>
    <s v="above 100k"/>
    <d v="2021-02-24T00:00:00"/>
    <n v="1"/>
    <x v="0"/>
    <x v="4"/>
    <n v="5.4684931506849317"/>
    <s v="Full time"/>
  </r>
  <r>
    <x v="211"/>
    <s v="Konstantin"/>
    <s v="Timblett"/>
    <x v="1"/>
    <x v="3"/>
    <n v="56253.81"/>
    <s v="50k to 100k"/>
    <d v="2021-08-13T00:00:00"/>
    <n v="1"/>
    <x v="0"/>
    <x v="5"/>
    <n v="5.0027397260273974"/>
    <s v="Full time"/>
  </r>
  <r>
    <x v="212"/>
    <s v="Kaishori"/>
    <s v="Harathi"/>
    <x v="1"/>
    <x v="10"/>
    <n v="51798.25"/>
    <s v="50k to 100k"/>
    <d v="2019-07-19T00:00:00"/>
    <n v="1"/>
    <x v="0"/>
    <x v="2"/>
    <n v="7.0739726027397261"/>
    <s v="Full time"/>
  </r>
  <r>
    <x v="213"/>
    <s v="Mendel"/>
    <s v=""/>
    <x v="0"/>
    <x v="7"/>
    <n v="28329.77"/>
    <s v="50k"/>
    <d v="2018-10-29T00:00:00"/>
    <n v="1"/>
    <x v="0"/>
    <x v="1"/>
    <n v="7.7945205479452051"/>
    <s v="Full time"/>
  </r>
  <r>
    <x v="214"/>
    <s v="Rushil"/>
    <s v="Kripa"/>
    <x v="1"/>
    <x v="3"/>
    <n v="93964.3"/>
    <s v="50k to 100k"/>
    <d v="2021-09-15T00:00:00"/>
    <n v="0.4"/>
    <x v="1"/>
    <x v="2"/>
    <n v="4.912328767123288"/>
    <s v="part time"/>
  </r>
  <r>
    <x v="215"/>
    <s v="Aldrich"/>
    <s v="Glenny"/>
    <x v="0"/>
    <x v="1"/>
    <n v="90884.32"/>
    <s v="50k to 100k"/>
    <d v="2020-07-27T00:00:00"/>
    <n v="0.5"/>
    <x v="0"/>
    <x v="4"/>
    <n v="6.0493150684931507"/>
    <s v="part time"/>
  </r>
  <r>
    <x v="216"/>
    <s v="Patti"/>
    <s v="Dradey"/>
    <x v="0"/>
    <x v="2"/>
    <n v="84742.86"/>
    <s v="50k to 100k"/>
    <d v="2020-09-24T00:00:00"/>
    <n v="1"/>
    <x v="0"/>
    <x v="5"/>
    <n v="5.8876712328767127"/>
    <s v="Full time"/>
  </r>
  <r>
    <x v="217"/>
    <s v="Marjie"/>
    <s v="Bamford"/>
    <x v="0"/>
    <x v="9"/>
    <n v="80772.92"/>
    <s v="50k to 100k"/>
    <d v="2020-11-02T00:00:00"/>
    <n v="1"/>
    <x v="2"/>
    <x v="0"/>
    <n v="5.7808219178082192"/>
    <s v="Full time"/>
  </r>
  <r>
    <x v="218"/>
    <s v="Sarojini"/>
    <s v="Naueshwara"/>
    <x v="1"/>
    <x v="7"/>
    <n v="85264.38"/>
    <s v="50k to 100k"/>
    <d v="2018-04-30T00:00:00"/>
    <n v="1"/>
    <x v="0"/>
    <x v="6"/>
    <n v="8.293150684931506"/>
    <s v="Full time"/>
  </r>
  <r>
    <x v="67"/>
    <s v="Alic"/>
    <s v="Bagg"/>
    <x v="0"/>
    <x v="11"/>
    <n v="113747.56"/>
    <s v="above 100k"/>
    <d v="2021-03-15T00:00:00"/>
    <n v="0.7"/>
    <x v="2"/>
    <x v="4"/>
    <n v="5.4164383561643836"/>
    <s v="part time"/>
  </r>
  <r>
    <x v="219"/>
    <s v="Marmaduke"/>
    <s v="Worssam"/>
    <x v="1"/>
    <x v="0"/>
    <n v="78378.2"/>
    <s v="50k to 100k"/>
    <d v="2018-12-31T00:00:00"/>
    <n v="0.4"/>
    <x v="0"/>
    <x v="0"/>
    <n v="7.6219178082191785"/>
    <s v="part time"/>
  </r>
  <r>
    <x v="220"/>
    <s v="Roselle"/>
    <s v="Wandrach"/>
    <x v="0"/>
    <x v="9"/>
    <n v="91314.75"/>
    <s v="50k to 100k"/>
    <d v="2020-04-10T00:00:00"/>
    <n v="1"/>
    <x v="1"/>
    <x v="1"/>
    <n v="6.3452054794520549"/>
    <s v="Full time"/>
  </r>
  <r>
    <x v="93"/>
    <s v="Sartaj"/>
    <s v="Probal"/>
    <x v="0"/>
    <x v="11"/>
    <n v="66572.58"/>
    <s v="50k to 100k"/>
    <d v="2020-12-28T00:00:00"/>
    <n v="1"/>
    <x v="0"/>
    <x v="6"/>
    <n v="5.6273972602739724"/>
    <s v="Full time"/>
  </r>
  <r>
    <x v="221"/>
    <s v="Koral"/>
    <s v="Gerriet"/>
    <x v="0"/>
    <x v="4"/>
    <n v="30077.45"/>
    <s v="50k"/>
    <d v="2019-01-09T00:00:00"/>
    <n v="1"/>
    <x v="0"/>
    <x v="3"/>
    <n v="7.5972602739726032"/>
    <s v="Full time"/>
  </r>
  <r>
    <x v="222"/>
    <s v="Anjela"/>
    <s v="Spancock"/>
    <x v="2"/>
    <x v="8"/>
    <n v="98012.63"/>
    <s v="50k to 100k"/>
    <d v="2019-11-11T00:00:00"/>
    <n v="1"/>
    <x v="0"/>
    <x v="0"/>
    <n v="6.7589041095890412"/>
    <s v="Full time"/>
  </r>
  <r>
    <x v="223"/>
    <s v="Crawford"/>
    <s v="Scad"/>
    <x v="0"/>
    <x v="7"/>
    <n v="72876.91"/>
    <s v="50k to 100k"/>
    <d v="2020-01-07T00:00:00"/>
    <n v="1"/>
    <x v="0"/>
    <x v="0"/>
    <n v="6.602739726027397"/>
    <s v="Full time"/>
  </r>
  <r>
    <x v="224"/>
    <s v="Mahindra"/>
    <s v="Sreedharan"/>
    <x v="0"/>
    <x v="0"/>
    <n v="92943.89"/>
    <s v="50k to 100k"/>
    <d v="2021-11-10T00:00:00"/>
    <n v="1"/>
    <x v="0"/>
    <x v="2"/>
    <n v="4.7589041095890412"/>
    <s v="Full time"/>
  </r>
  <r>
    <x v="225"/>
    <s v="Suchira"/>
    <s v="Bhanupriya"/>
    <x v="1"/>
    <x v="7"/>
    <n v="29808.07"/>
    <s v="50k"/>
    <d v="2018-07-10T00:00:00"/>
    <n v="0.3"/>
    <x v="2"/>
    <x v="2"/>
    <n v="8.0986301369863014"/>
    <s v="part time"/>
  </r>
  <r>
    <x v="226"/>
    <s v="Carry"/>
    <s v="Loblie"/>
    <x v="1"/>
    <x v="9"/>
    <n v="47551.89"/>
    <s v="50k"/>
    <d v="2019-01-03T00:00:00"/>
    <n v="1"/>
    <x v="0"/>
    <x v="5"/>
    <n v="7.6136986301369864"/>
    <s v="Full time"/>
  </r>
  <r>
    <x v="55"/>
    <s v="Fullara"/>
    <s v="Sushanti"/>
    <x v="1"/>
    <x v="6"/>
    <n v="39700.82"/>
    <s v="50k"/>
    <d v="2021-01-07T00:00:00"/>
    <n v="0.8"/>
    <x v="0"/>
    <x v="6"/>
    <n v="5.6"/>
    <s v="part time"/>
  </r>
  <r>
    <x v="227"/>
    <s v="Hridaynath"/>
    <s v="Tendulkar"/>
    <x v="1"/>
    <x v="11"/>
    <n v="31089.22"/>
    <s v="50k"/>
    <d v="2019-11-07T00:00:00"/>
    <n v="1"/>
    <x v="1"/>
    <x v="6"/>
    <n v="6.7698630136986298"/>
    <s v="Full time"/>
  </r>
  <r>
    <x v="228"/>
    <s v=""/>
    <s v="Fidela"/>
    <x v="1"/>
    <x v="9"/>
    <n v="78020.39"/>
    <s v="50k to 100k"/>
    <d v="2020-03-09T00:00:00"/>
    <n v="1"/>
    <x v="0"/>
    <x v="0"/>
    <n v="6.4328767123287669"/>
    <s v="Full ti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E3DCD8-8AC3-41BD-AFF6-08ED1414E2FE}"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0:B48" firstHeaderRow="1" firstDataRow="1" firstDataCol="1"/>
  <pivotFields count="13">
    <pivotField dataField="1" showAll="0"/>
    <pivotField showAll="0"/>
    <pivotField showAll="0"/>
    <pivotField showAll="0"/>
    <pivotField showAll="0"/>
    <pivotField showAll="0"/>
    <pivotField showAll="0"/>
    <pivotField numFmtId="14" showAll="0"/>
    <pivotField showAll="0"/>
    <pivotField showAll="0"/>
    <pivotField axis="axisRow" showAll="0">
      <items count="8">
        <item x="5"/>
        <item x="6"/>
        <item x="4"/>
        <item x="2"/>
        <item x="0"/>
        <item x="1"/>
        <item x="3"/>
        <item t="default"/>
      </items>
    </pivotField>
    <pivotField showAll="0"/>
    <pivotField showAll="0"/>
  </pivotFields>
  <rowFields count="1">
    <field x="10"/>
  </rowFields>
  <rowItems count="8">
    <i>
      <x/>
    </i>
    <i>
      <x v="1"/>
    </i>
    <i>
      <x v="2"/>
    </i>
    <i>
      <x v="3"/>
    </i>
    <i>
      <x v="4"/>
    </i>
    <i>
      <x v="5"/>
    </i>
    <i>
      <x v="6"/>
    </i>
    <i t="grand">
      <x/>
    </i>
  </rowItems>
  <colItems count="1">
    <i/>
  </colItems>
  <dataFields count="1">
    <dataField name="Count of Emp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48B180-2FD4-4DEF-94D1-7AF5EA79D734}"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B36" firstHeaderRow="1" firstDataRow="1" firstDataCol="1"/>
  <pivotFields count="13">
    <pivotField dataField="1" showAll="0"/>
    <pivotField showAll="0"/>
    <pivotField showAll="0"/>
    <pivotField showAll="0"/>
    <pivotField showAll="0"/>
    <pivotField showAll="0"/>
    <pivotField showAll="0"/>
    <pivotField numFmtId="14" showAll="0"/>
    <pivotField showAll="0"/>
    <pivotField axis="axisRow" showAll="0">
      <items count="4">
        <item x="1"/>
        <item x="0"/>
        <item x="2"/>
        <item t="default"/>
      </items>
    </pivotField>
    <pivotField showAll="0"/>
    <pivotField showAll="0"/>
    <pivotField showAll="0"/>
  </pivotFields>
  <rowFields count="1">
    <field x="9"/>
  </rowFields>
  <rowItems count="4">
    <i>
      <x/>
    </i>
    <i>
      <x v="1"/>
    </i>
    <i>
      <x v="2"/>
    </i>
    <i t="grand">
      <x/>
    </i>
  </rowItems>
  <colItems count="1">
    <i/>
  </colItems>
  <dataFields count="1">
    <dataField name="Count of Emp 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533FD1-C368-4041-BBCA-2CFBB3BBA6F5}"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31" firstHeaderRow="1" firstDataRow="1" firstDataCol="1"/>
  <pivotFields count="13">
    <pivotField showAll="0"/>
    <pivotField showAll="0"/>
    <pivotField showAll="0"/>
    <pivotField showAll="0"/>
    <pivotField axis="axisRow" showAll="0">
      <items count="13">
        <item x="8"/>
        <item x="1"/>
        <item x="0"/>
        <item x="7"/>
        <item x="11"/>
        <item x="5"/>
        <item x="10"/>
        <item x="6"/>
        <item x="9"/>
        <item x="2"/>
        <item x="4"/>
        <item x="3"/>
        <item t="default"/>
      </items>
    </pivotField>
    <pivotField dataField="1" showAll="0"/>
    <pivotField showAll="0"/>
    <pivotField numFmtId="14" showAll="0"/>
    <pivotField showAll="0"/>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dataFields count="1">
    <dataField name="Average of Salary" fld="5" subtotal="average" baseField="4" baseItem="0" numFmtId="1"/>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821F6F-873A-44AF-BD93-CC78B0E4B69D}" name="PivotTable3" cacheId="1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1:B3" firstHeaderRow="1" firstDataRow="1" firstDataCol="1"/>
  <pivotFields count="13">
    <pivotField dataField="1" showAll="0">
      <items count="230">
        <item x="193"/>
        <item x="89"/>
        <item x="187"/>
        <item x="0"/>
        <item x="199"/>
        <item x="9"/>
        <item x="61"/>
        <item x="152"/>
        <item x="183"/>
        <item x="20"/>
        <item x="19"/>
        <item x="83"/>
        <item x="181"/>
        <item x="78"/>
        <item x="84"/>
        <item x="166"/>
        <item x="216"/>
        <item x="68"/>
        <item x="188"/>
        <item x="206"/>
        <item x="33"/>
        <item x="208"/>
        <item x="115"/>
        <item x="98"/>
        <item x="161"/>
        <item x="100"/>
        <item x="116"/>
        <item x="49"/>
        <item x="175"/>
        <item x="27"/>
        <item x="133"/>
        <item x="219"/>
        <item x="25"/>
        <item x="58"/>
        <item x="170"/>
        <item x="77"/>
        <item x="198"/>
        <item x="26"/>
        <item x="141"/>
        <item x="21"/>
        <item x="223"/>
        <item x="93"/>
        <item x="52"/>
        <item x="151"/>
        <item x="72"/>
        <item x="226"/>
        <item x="80"/>
        <item x="123"/>
        <item x="12"/>
        <item x="6"/>
        <item x="1"/>
        <item x="192"/>
        <item x="130"/>
        <item x="177"/>
        <item x="154"/>
        <item x="5"/>
        <item x="186"/>
        <item x="203"/>
        <item x="48"/>
        <item x="92"/>
        <item x="99"/>
        <item x="8"/>
        <item x="14"/>
        <item x="107"/>
        <item x="56"/>
        <item x="121"/>
        <item x="125"/>
        <item x="40"/>
        <item x="124"/>
        <item x="29"/>
        <item x="47"/>
        <item x="103"/>
        <item x="35"/>
        <item x="50"/>
        <item x="102"/>
        <item x="172"/>
        <item x="129"/>
        <item x="7"/>
        <item x="122"/>
        <item x="202"/>
        <item x="169"/>
        <item x="97"/>
        <item x="54"/>
        <item x="200"/>
        <item x="155"/>
        <item x="195"/>
        <item x="57"/>
        <item x="30"/>
        <item x="211"/>
        <item x="212"/>
        <item x="210"/>
        <item x="135"/>
        <item x="147"/>
        <item x="157"/>
        <item x="64"/>
        <item x="207"/>
        <item x="134"/>
        <item x="106"/>
        <item x="66"/>
        <item x="153"/>
        <item x="79"/>
        <item x="194"/>
        <item x="90"/>
        <item x="228"/>
        <item x="117"/>
        <item x="159"/>
        <item x="182"/>
        <item x="94"/>
        <item x="17"/>
        <item x="108"/>
        <item x="2"/>
        <item x="218"/>
        <item x="138"/>
        <item x="128"/>
        <item x="146"/>
        <item x="81"/>
        <item x="15"/>
        <item x="44"/>
        <item x="189"/>
        <item x="197"/>
        <item x="18"/>
        <item x="167"/>
        <item x="120"/>
        <item x="101"/>
        <item x="95"/>
        <item x="23"/>
        <item x="109"/>
        <item x="105"/>
        <item x="140"/>
        <item x="11"/>
        <item x="119"/>
        <item x="221"/>
        <item x="191"/>
        <item x="171"/>
        <item x="114"/>
        <item x="178"/>
        <item x="42"/>
        <item x="126"/>
        <item x="215"/>
        <item x="204"/>
        <item x="222"/>
        <item x="213"/>
        <item x="70"/>
        <item x="38"/>
        <item x="148"/>
        <item x="149"/>
        <item x="4"/>
        <item x="131"/>
        <item x="63"/>
        <item x="224"/>
        <item x="55"/>
        <item x="111"/>
        <item x="168"/>
        <item x="46"/>
        <item x="51"/>
        <item x="59"/>
        <item x="173"/>
        <item x="22"/>
        <item x="87"/>
        <item x="74"/>
        <item x="163"/>
        <item x="113"/>
        <item x="176"/>
        <item x="164"/>
        <item x="37"/>
        <item x="214"/>
        <item x="65"/>
        <item x="143"/>
        <item x="86"/>
        <item x="227"/>
        <item x="180"/>
        <item x="196"/>
        <item x="139"/>
        <item x="190"/>
        <item x="220"/>
        <item x="10"/>
        <item x="144"/>
        <item x="165"/>
        <item x="205"/>
        <item x="45"/>
        <item x="142"/>
        <item x="174"/>
        <item x="60"/>
        <item x="150"/>
        <item x="82"/>
        <item x="118"/>
        <item x="85"/>
        <item x="156"/>
        <item x="41"/>
        <item x="184"/>
        <item x="3"/>
        <item x="96"/>
        <item x="209"/>
        <item x="69"/>
        <item x="62"/>
        <item x="34"/>
        <item x="127"/>
        <item x="91"/>
        <item x="13"/>
        <item x="71"/>
        <item x="132"/>
        <item x="16"/>
        <item x="76"/>
        <item x="39"/>
        <item x="179"/>
        <item x="73"/>
        <item x="67"/>
        <item x="104"/>
        <item x="32"/>
        <item x="145"/>
        <item x="112"/>
        <item x="136"/>
        <item x="217"/>
        <item x="28"/>
        <item x="43"/>
        <item x="75"/>
        <item x="110"/>
        <item x="53"/>
        <item x="24"/>
        <item x="185"/>
        <item x="201"/>
        <item x="158"/>
        <item x="162"/>
        <item x="160"/>
        <item x="137"/>
        <item x="31"/>
        <item x="36"/>
        <item x="225"/>
        <item x="88"/>
        <item t="default"/>
      </items>
    </pivotField>
    <pivotField showAll="0"/>
    <pivotField showAll="0"/>
    <pivotField showAll="0">
      <items count="4">
        <item x="1"/>
        <item x="0"/>
        <item x="2"/>
        <item t="default"/>
      </items>
    </pivotField>
    <pivotField axis="axisRow" showAll="0">
      <items count="13">
        <item h="1" x="8"/>
        <item h="1" x="1"/>
        <item h="1" x="0"/>
        <item x="7"/>
        <item h="1" x="11"/>
        <item h="1" x="5"/>
        <item h="1" x="10"/>
        <item h="1" x="6"/>
        <item h="1" x="9"/>
        <item h="1" x="2"/>
        <item h="1" x="4"/>
        <item h="1" x="3"/>
        <item t="default"/>
      </items>
    </pivotField>
    <pivotField showAll="0"/>
    <pivotField showAll="0"/>
    <pivotField numFmtId="14" showAll="0"/>
    <pivotField showAll="0"/>
    <pivotField showAll="0">
      <items count="4">
        <item x="1"/>
        <item x="0"/>
        <item x="2"/>
        <item t="default"/>
      </items>
    </pivotField>
    <pivotField showAll="0">
      <items count="8">
        <item h="1" x="5"/>
        <item h="1" x="6"/>
        <item x="4"/>
        <item h="1" x="2"/>
        <item h="1" x="0"/>
        <item h="1" x="1"/>
        <item h="1" x="3"/>
        <item t="default"/>
      </items>
    </pivotField>
    <pivotField showAll="0"/>
    <pivotField showAll="0"/>
  </pivotFields>
  <rowFields count="1">
    <field x="4"/>
  </rowFields>
  <rowItems count="2">
    <i>
      <x v="3"/>
    </i>
    <i t="grand">
      <x/>
    </i>
  </rowItems>
  <colItems count="1">
    <i/>
  </colItems>
  <dataFields count="1">
    <dataField name="Count of Emp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39A2C455-3F79-43BA-A425-E19320F8558A}" autoFormatId="16" applyNumberFormats="0" applyBorderFormats="0" applyFontFormats="0" applyPatternFormats="0" applyAlignmentFormats="0" applyWidthHeightFormats="0">
  <queryTableRefresh nextId="14">
    <queryTableFields count="13">
      <queryTableField id="1" name="Emp ID" tableColumnId="1"/>
      <queryTableField id="2" name="First NAME" tableColumnId="2"/>
      <queryTableField id="3" name="Last NAME.1" tableColumnId="3"/>
      <queryTableField id="4" name="Gender" tableColumnId="4"/>
      <queryTableField id="5" name="Department" tableColumnId="5"/>
      <queryTableField id="6" name="Salary" tableColumnId="6"/>
      <queryTableField id="7" name="Salary Bucket" tableColumnId="7"/>
      <queryTableField id="8" name="Start Date" tableColumnId="8"/>
      <queryTableField id="9" name="FTE" tableColumnId="9"/>
      <queryTableField id="10" name="Employee type" tableColumnId="10"/>
      <queryTableField id="11" name="Work location" tableColumnId="11"/>
      <queryTableField id="12" name="Age" tableColumnId="12"/>
      <queryTableField id="13" name="WORK TYPE"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BC23D7E-3F23-4528-AD31-89F72F92A56A}" sourceName="Department">
  <pivotTables>
    <pivotTable tabId="5" name="PivotTable3"/>
  </pivotTables>
  <data>
    <tabular pivotCacheId="1869987202">
      <items count="12">
        <i x="8"/>
        <i x="1"/>
        <i x="0"/>
        <i x="7" s="1"/>
        <i x="11"/>
        <i x="5"/>
        <i x="10"/>
        <i x="9"/>
        <i x="3"/>
        <i x="6" nd="1"/>
        <i x="2"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location" xr10:uid="{9CE7B411-4E3A-4402-B514-253597ECFB19}" sourceName="Work location">
  <pivotTables>
    <pivotTable tabId="5" name="PivotTable3"/>
  </pivotTables>
  <data>
    <tabular pivotCacheId="1869987202">
      <items count="7">
        <i x="5"/>
        <i x="6"/>
        <i x="4" s="1"/>
        <i x="2"/>
        <i x="0"/>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68876817-240E-4432-9EEC-7F0AB9E68D84}" sourceName="Employee type">
  <pivotTables>
    <pivotTable tabId="5" name="PivotTable3"/>
  </pivotTables>
  <data>
    <tabular pivotCacheId="1869987202">
      <items count="3">
        <i x="1" s="1"/>
        <i x="0"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AF5560F-7047-4DA1-8C52-5A0E35C410F0}" sourceName="Gender">
  <pivotTables>
    <pivotTable tabId="5" name="PivotTable3"/>
  </pivotTables>
  <data>
    <tabular pivotCacheId="1869987202">
      <items count="3">
        <i x="1" s="1"/>
        <i x="0"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C0C5065-B80C-43D7-B2FE-D12BBFF21DB5}" cache="Slicer_Department" caption="Department" rowHeight="234950"/>
  <slicer name="Work location" xr10:uid="{6744360E-8A7E-418A-8A11-CDA17A5050EF}" cache="Slicer_Work_location" caption="Work location" rowHeight="234950"/>
  <slicer name="Employee type" xr10:uid="{30C6417C-1C61-4306-B55F-E06ABA6BF003}" cache="Slicer_Employee_type" caption="Employee type" rowHeight="234950"/>
  <slicer name="Gender" xr10:uid="{78305CB5-BF2E-4EBC-87BB-CDE702322E62}" cache="Slicer_Gender" caption="Gende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0F59C7-5FB5-4024-8239-94368AADDC52}" name="Staff" displayName="Staff" ref="A1:M261" tableType="queryTable" totalsRowShown="0">
  <autoFilter ref="A1:M261" xr:uid="{4E0F59C7-5FB5-4024-8239-94368AADDC52}"/>
  <tableColumns count="13">
    <tableColumn id="1" xr3:uid="{B2168772-A03D-40D2-96F7-1E2C63815E1E}" uniqueName="1" name="Emp ID" queryTableFieldId="1" dataDxfId="7"/>
    <tableColumn id="2" xr3:uid="{F8026848-9453-4C78-B57F-1A297F535B4C}" uniqueName="2" name="First NAME" queryTableFieldId="2" dataDxfId="6"/>
    <tableColumn id="3" xr3:uid="{E669194D-E66D-40B5-A4E9-A3ED3A90F148}" uniqueName="3" name="Last NAME.1" queryTableFieldId="3" dataDxfId="5"/>
    <tableColumn id="4" xr3:uid="{650D830E-F283-4490-9BEE-E516C38A6813}" uniqueName="4" name="Gender" queryTableFieldId="4" dataDxfId="4"/>
    <tableColumn id="5" xr3:uid="{2DA627D7-0213-4D07-BDAE-DA465DE8FE6C}" uniqueName="5" name="Department" queryTableFieldId="5" dataDxfId="3"/>
    <tableColumn id="6" xr3:uid="{8D6F3EA5-1BEB-4AF0-A1C7-2AA40B63531F}" uniqueName="6" name="Salary" queryTableFieldId="6"/>
    <tableColumn id="7" xr3:uid="{94A910D5-D6FB-48AF-8C04-8C3D74CE9D3A}" uniqueName="7" name="Salary Bucket" queryTableFieldId="7"/>
    <tableColumn id="8" xr3:uid="{4C726AA2-F29A-4C31-BC9B-D789F01FB13A}" uniqueName="8" name="Start Date" queryTableFieldId="8" dataDxfId="2"/>
    <tableColumn id="9" xr3:uid="{B510C24C-A059-42F2-BAD6-54293F56438C}" uniqueName="9" name="FTE" queryTableFieldId="9"/>
    <tableColumn id="10" xr3:uid="{7931958C-6E53-4118-B69A-0CE3AE4D9E25}" uniqueName="10" name="Employee type" queryTableFieldId="10" dataDxfId="1"/>
    <tableColumn id="11" xr3:uid="{770E9D44-F8CA-4B49-B604-92391AE132CC}" uniqueName="11" name="Work location" queryTableFieldId="11" dataDxfId="0"/>
    <tableColumn id="12" xr3:uid="{26080D0E-7D29-4B20-9C33-17057570D37F}" uniqueName="12" name="Age" queryTableFieldId="12"/>
    <tableColumn id="13" xr3:uid="{8A8EBED6-18DD-41EF-B45C-EF96B4BB4BC9}" uniqueName="13" name="WORK TYPE" queryTableField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6186A-8D86-41B5-841D-DDCD9FB71317}">
  <dimension ref="A1:M261"/>
  <sheetViews>
    <sheetView topLeftCell="A2" zoomScale="94" workbookViewId="0">
      <selection activeCell="A2" sqref="A1:XFD1048576"/>
    </sheetView>
  </sheetViews>
  <sheetFormatPr defaultRowHeight="14.4" x14ac:dyDescent="0.3"/>
  <cols>
    <col min="1" max="1" width="9.21875" bestFit="1" customWidth="1"/>
    <col min="2" max="2" width="12.6640625" bestFit="1" customWidth="1"/>
    <col min="3" max="3" width="13.88671875" bestFit="1" customWidth="1"/>
    <col min="4" max="4" width="9.33203125" bestFit="1" customWidth="1"/>
    <col min="5" max="5" width="23.5546875" bestFit="1" customWidth="1"/>
    <col min="6" max="6" width="10" bestFit="1" customWidth="1"/>
    <col min="7" max="7" width="14.5546875" bestFit="1" customWidth="1"/>
    <col min="8" max="8" width="11.5546875" bestFit="1" customWidth="1"/>
    <col min="9" max="9" width="6.109375" bestFit="1" customWidth="1"/>
    <col min="10" max="10" width="15.88671875" bestFit="1" customWidth="1"/>
    <col min="11" max="11" width="21.5546875" bestFit="1" customWidth="1"/>
    <col min="12" max="12" width="12" bestFit="1" customWidth="1"/>
    <col min="13" max="13" width="13.109375" bestFit="1" customWidth="1"/>
  </cols>
  <sheetData>
    <row r="1" spans="1:13" x14ac:dyDescent="0.3">
      <c r="A1" t="s">
        <v>0</v>
      </c>
      <c r="B1" t="s">
        <v>84</v>
      </c>
      <c r="C1" t="s">
        <v>85</v>
      </c>
      <c r="D1" t="s">
        <v>1</v>
      </c>
      <c r="E1" t="s">
        <v>2</v>
      </c>
      <c r="F1" t="s">
        <v>3</v>
      </c>
      <c r="G1" t="s">
        <v>86</v>
      </c>
      <c r="H1" t="s">
        <v>4</v>
      </c>
      <c r="I1" t="s">
        <v>5</v>
      </c>
      <c r="J1" t="s">
        <v>6</v>
      </c>
      <c r="K1" t="s">
        <v>7</v>
      </c>
      <c r="L1" t="s">
        <v>87</v>
      </c>
      <c r="M1" t="s">
        <v>88</v>
      </c>
    </row>
    <row r="2" spans="1:13" x14ac:dyDescent="0.3">
      <c r="A2" s="1" t="s">
        <v>18</v>
      </c>
      <c r="B2" s="1" t="s">
        <v>89</v>
      </c>
      <c r="C2" s="1" t="s">
        <v>90</v>
      </c>
      <c r="D2" s="1" t="s">
        <v>19</v>
      </c>
      <c r="E2" s="1" t="s">
        <v>41</v>
      </c>
      <c r="F2">
        <v>120000</v>
      </c>
      <c r="G2" t="s">
        <v>91</v>
      </c>
      <c r="H2" s="2">
        <v>43416</v>
      </c>
      <c r="I2">
        <v>1</v>
      </c>
      <c r="J2" s="1" t="s">
        <v>11</v>
      </c>
      <c r="K2" s="1" t="s">
        <v>20</v>
      </c>
      <c r="L2">
        <v>7.7561643835616438</v>
      </c>
      <c r="M2" t="s">
        <v>92</v>
      </c>
    </row>
    <row r="3" spans="1:13" x14ac:dyDescent="0.3">
      <c r="A3" s="1" t="s">
        <v>80</v>
      </c>
      <c r="B3" s="1" t="s">
        <v>93</v>
      </c>
      <c r="C3" s="1" t="s">
        <v>94</v>
      </c>
      <c r="D3" s="1" t="s">
        <v>9</v>
      </c>
      <c r="E3" s="1" t="s">
        <v>14</v>
      </c>
      <c r="F3">
        <v>98000</v>
      </c>
      <c r="G3" t="s">
        <v>95</v>
      </c>
      <c r="H3" s="2">
        <v>43710</v>
      </c>
      <c r="I3">
        <v>0.9</v>
      </c>
      <c r="J3" s="1" t="s">
        <v>11</v>
      </c>
      <c r="K3" s="1" t="s">
        <v>37</v>
      </c>
      <c r="L3">
        <v>6.9506849315068493</v>
      </c>
      <c r="M3" t="s">
        <v>96</v>
      </c>
    </row>
    <row r="4" spans="1:13" x14ac:dyDescent="0.3">
      <c r="A4" s="1" t="s">
        <v>97</v>
      </c>
      <c r="B4" s="1" t="s">
        <v>98</v>
      </c>
      <c r="C4" s="1" t="s">
        <v>99</v>
      </c>
      <c r="D4" s="1" t="s">
        <v>9</v>
      </c>
      <c r="E4" s="1" t="s">
        <v>43</v>
      </c>
      <c r="F4">
        <v>120000</v>
      </c>
      <c r="G4" t="s">
        <v>91</v>
      </c>
      <c r="H4" s="2">
        <v>43902</v>
      </c>
      <c r="I4">
        <v>0.9</v>
      </c>
      <c r="J4" s="1" t="s">
        <v>11</v>
      </c>
      <c r="K4" s="1" t="s">
        <v>20</v>
      </c>
      <c r="L4">
        <v>6.4246575342465757</v>
      </c>
      <c r="M4" t="s">
        <v>96</v>
      </c>
    </row>
    <row r="5" spans="1:13" x14ac:dyDescent="0.3">
      <c r="A5" s="1" t="s">
        <v>100</v>
      </c>
      <c r="B5" s="1" t="s">
        <v>101</v>
      </c>
      <c r="C5" s="1" t="s">
        <v>102</v>
      </c>
      <c r="D5" s="1" t="s">
        <v>9</v>
      </c>
      <c r="E5" s="1" t="s">
        <v>10</v>
      </c>
      <c r="F5">
        <v>93128.34</v>
      </c>
      <c r="G5" t="s">
        <v>95</v>
      </c>
      <c r="H5" s="2">
        <v>43164</v>
      </c>
      <c r="I5">
        <v>1</v>
      </c>
      <c r="J5" s="1" t="s">
        <v>103</v>
      </c>
      <c r="K5" s="1" t="s">
        <v>37</v>
      </c>
      <c r="L5">
        <v>8.4465753424657528</v>
      </c>
      <c r="M5" t="s">
        <v>92</v>
      </c>
    </row>
    <row r="6" spans="1:13" x14ac:dyDescent="0.3">
      <c r="A6" s="1" t="s">
        <v>104</v>
      </c>
      <c r="B6" s="1" t="s">
        <v>105</v>
      </c>
      <c r="C6" s="1" t="s">
        <v>106</v>
      </c>
      <c r="D6" s="1" t="s">
        <v>9</v>
      </c>
      <c r="E6" s="1" t="s">
        <v>10</v>
      </c>
      <c r="F6">
        <v>57002.02</v>
      </c>
      <c r="G6" t="s">
        <v>95</v>
      </c>
      <c r="H6" s="2">
        <v>43192</v>
      </c>
      <c r="I6">
        <v>0.7</v>
      </c>
      <c r="J6" s="1" t="s">
        <v>11</v>
      </c>
      <c r="K6" s="1" t="s">
        <v>15</v>
      </c>
      <c r="L6">
        <v>8.3698630136986303</v>
      </c>
      <c r="M6" t="s">
        <v>96</v>
      </c>
    </row>
    <row r="7" spans="1:13" x14ac:dyDescent="0.3">
      <c r="A7" s="1" t="s">
        <v>107</v>
      </c>
      <c r="B7" s="1" t="s">
        <v>108</v>
      </c>
      <c r="C7" s="1" t="s">
        <v>109</v>
      </c>
      <c r="D7" s="1" t="s">
        <v>19</v>
      </c>
      <c r="E7" s="1" t="s">
        <v>41</v>
      </c>
      <c r="F7">
        <v>118976.16</v>
      </c>
      <c r="G7" t="s">
        <v>91</v>
      </c>
      <c r="H7" s="2">
        <v>44120</v>
      </c>
      <c r="I7">
        <v>1</v>
      </c>
      <c r="J7" s="1" t="s">
        <v>11</v>
      </c>
      <c r="K7" s="1" t="s">
        <v>12</v>
      </c>
      <c r="L7">
        <v>5.8273972602739725</v>
      </c>
      <c r="M7" t="s">
        <v>92</v>
      </c>
    </row>
    <row r="8" spans="1:13" x14ac:dyDescent="0.3">
      <c r="A8" s="1" t="s">
        <v>79</v>
      </c>
      <c r="B8" s="1" t="s">
        <v>110</v>
      </c>
      <c r="C8" s="1" t="s">
        <v>111</v>
      </c>
      <c r="D8" s="1" t="s">
        <v>112</v>
      </c>
      <c r="E8" s="1" t="s">
        <v>54</v>
      </c>
      <c r="F8">
        <v>104802.63</v>
      </c>
      <c r="G8" t="s">
        <v>91</v>
      </c>
      <c r="H8" s="2">
        <v>44502</v>
      </c>
      <c r="I8">
        <v>1</v>
      </c>
      <c r="J8" s="1" t="s">
        <v>11</v>
      </c>
      <c r="K8" s="1" t="s">
        <v>15</v>
      </c>
      <c r="L8">
        <v>4.7808219178082192</v>
      </c>
      <c r="M8" t="s">
        <v>92</v>
      </c>
    </row>
    <row r="9" spans="1:13" x14ac:dyDescent="0.3">
      <c r="A9" s="1" t="s">
        <v>113</v>
      </c>
      <c r="B9" s="1" t="s">
        <v>114</v>
      </c>
      <c r="C9" s="1" t="s">
        <v>115</v>
      </c>
      <c r="D9" s="1" t="s">
        <v>9</v>
      </c>
      <c r="E9" s="1" t="s">
        <v>22</v>
      </c>
      <c r="F9">
        <v>66017.179999999993</v>
      </c>
      <c r="G9" t="s">
        <v>95</v>
      </c>
      <c r="H9" s="2">
        <v>43643</v>
      </c>
      <c r="I9">
        <v>0.9</v>
      </c>
      <c r="J9" s="1" t="s">
        <v>11</v>
      </c>
      <c r="K9" s="1" t="s">
        <v>20</v>
      </c>
      <c r="L9">
        <v>7.1342465753424653</v>
      </c>
      <c r="M9" t="s">
        <v>96</v>
      </c>
    </row>
    <row r="10" spans="1:13" x14ac:dyDescent="0.3">
      <c r="A10" s="1" t="s">
        <v>116</v>
      </c>
      <c r="B10" s="1" t="s">
        <v>117</v>
      </c>
      <c r="C10" s="1" t="s">
        <v>118</v>
      </c>
      <c r="D10" s="1" t="s">
        <v>19</v>
      </c>
      <c r="E10" s="1" t="s">
        <v>33</v>
      </c>
      <c r="F10">
        <v>74279.009999999995</v>
      </c>
      <c r="G10" t="s">
        <v>95</v>
      </c>
      <c r="H10" s="2">
        <v>43466</v>
      </c>
      <c r="I10">
        <v>1</v>
      </c>
      <c r="J10" s="1" t="s">
        <v>11</v>
      </c>
      <c r="K10" s="1" t="s">
        <v>12</v>
      </c>
      <c r="L10">
        <v>7.6191780821917812</v>
      </c>
      <c r="M10" t="s">
        <v>92</v>
      </c>
    </row>
    <row r="11" spans="1:13" x14ac:dyDescent="0.3">
      <c r="A11" s="1" t="s">
        <v>23</v>
      </c>
      <c r="B11" s="1" t="s">
        <v>119</v>
      </c>
      <c r="C11" s="1" t="s">
        <v>120</v>
      </c>
      <c r="D11" s="1" t="s">
        <v>9</v>
      </c>
      <c r="E11" s="1" t="s">
        <v>14</v>
      </c>
      <c r="F11">
        <v>68980.52</v>
      </c>
      <c r="G11" t="s">
        <v>95</v>
      </c>
      <c r="H11" s="2">
        <v>43494</v>
      </c>
      <c r="I11">
        <v>0.8</v>
      </c>
      <c r="J11" s="1" t="s">
        <v>11</v>
      </c>
      <c r="K11" s="1" t="s">
        <v>20</v>
      </c>
      <c r="L11">
        <v>7.5424657534246577</v>
      </c>
      <c r="M11" t="s">
        <v>96</v>
      </c>
    </row>
    <row r="12" spans="1:13" x14ac:dyDescent="0.3">
      <c r="A12" s="1" t="s">
        <v>121</v>
      </c>
      <c r="B12" s="1" t="s">
        <v>122</v>
      </c>
      <c r="C12" s="1" t="s">
        <v>123</v>
      </c>
      <c r="D12" s="1" t="s">
        <v>9</v>
      </c>
      <c r="E12" s="1" t="s">
        <v>43</v>
      </c>
      <c r="F12">
        <v>42314.39</v>
      </c>
      <c r="G12" t="s">
        <v>124</v>
      </c>
      <c r="H12" s="2">
        <v>44487</v>
      </c>
      <c r="I12">
        <v>1</v>
      </c>
      <c r="J12" s="1" t="s">
        <v>103</v>
      </c>
      <c r="K12" s="1" t="s">
        <v>20</v>
      </c>
      <c r="L12">
        <v>4.8219178082191778</v>
      </c>
      <c r="M12" t="s">
        <v>92</v>
      </c>
    </row>
    <row r="13" spans="1:13" x14ac:dyDescent="0.3">
      <c r="A13" s="1" t="s">
        <v>125</v>
      </c>
      <c r="B13" s="1" t="s">
        <v>126</v>
      </c>
      <c r="C13" s="1" t="s">
        <v>127</v>
      </c>
      <c r="D13" s="1" t="s">
        <v>9</v>
      </c>
      <c r="E13" s="1" t="s">
        <v>41</v>
      </c>
      <c r="F13">
        <v>114425.19</v>
      </c>
      <c r="G13" t="s">
        <v>91</v>
      </c>
      <c r="H13" s="2">
        <v>43857</v>
      </c>
      <c r="I13">
        <v>1</v>
      </c>
      <c r="J13" s="1" t="s">
        <v>11</v>
      </c>
      <c r="K13" s="1" t="s">
        <v>12</v>
      </c>
      <c r="L13">
        <v>6.5479452054794525</v>
      </c>
      <c r="M13" t="s">
        <v>92</v>
      </c>
    </row>
    <row r="14" spans="1:13" x14ac:dyDescent="0.3">
      <c r="A14" s="1" t="s">
        <v>78</v>
      </c>
      <c r="B14" s="1" t="s">
        <v>117</v>
      </c>
      <c r="C14" s="1" t="s">
        <v>128</v>
      </c>
      <c r="D14" s="1" t="s">
        <v>9</v>
      </c>
      <c r="E14" s="1" t="s">
        <v>14</v>
      </c>
      <c r="F14">
        <v>69192.850000000006</v>
      </c>
      <c r="G14" t="s">
        <v>95</v>
      </c>
      <c r="H14" s="2">
        <v>44305</v>
      </c>
      <c r="I14">
        <v>1</v>
      </c>
      <c r="J14" s="1" t="s">
        <v>11</v>
      </c>
      <c r="K14" s="1" t="s">
        <v>17</v>
      </c>
      <c r="L14">
        <v>5.3205479452054796</v>
      </c>
      <c r="M14" t="s">
        <v>92</v>
      </c>
    </row>
    <row r="15" spans="1:13" x14ac:dyDescent="0.3">
      <c r="A15" s="1" t="s">
        <v>129</v>
      </c>
      <c r="B15" s="1" t="s">
        <v>130</v>
      </c>
      <c r="C15" s="1" t="s">
        <v>131</v>
      </c>
      <c r="D15" s="1" t="s">
        <v>19</v>
      </c>
      <c r="E15" s="1" t="s">
        <v>54</v>
      </c>
      <c r="F15">
        <v>61214.26</v>
      </c>
      <c r="G15" t="s">
        <v>95</v>
      </c>
      <c r="H15" s="2">
        <v>43171</v>
      </c>
      <c r="I15">
        <v>1</v>
      </c>
      <c r="J15" s="1" t="s">
        <v>132</v>
      </c>
      <c r="K15" s="1" t="s">
        <v>39</v>
      </c>
      <c r="L15">
        <v>8.4273972602739722</v>
      </c>
      <c r="M15" t="s">
        <v>92</v>
      </c>
    </row>
    <row r="16" spans="1:13" x14ac:dyDescent="0.3">
      <c r="A16" s="1" t="s">
        <v>133</v>
      </c>
      <c r="B16" s="1" t="s">
        <v>134</v>
      </c>
      <c r="C16" s="1" t="s">
        <v>135</v>
      </c>
      <c r="D16" s="1" t="s">
        <v>19</v>
      </c>
      <c r="E16" s="1" t="s">
        <v>54</v>
      </c>
      <c r="F16">
        <v>54137.05</v>
      </c>
      <c r="G16" t="s">
        <v>95</v>
      </c>
      <c r="H16" s="2">
        <v>43763</v>
      </c>
      <c r="I16">
        <v>1</v>
      </c>
      <c r="J16" s="1" t="s">
        <v>11</v>
      </c>
      <c r="K16" s="1" t="s">
        <v>20</v>
      </c>
      <c r="L16">
        <v>6.8054794520547945</v>
      </c>
      <c r="M16" t="s">
        <v>92</v>
      </c>
    </row>
    <row r="17" spans="1:13" x14ac:dyDescent="0.3">
      <c r="A17" s="1" t="s">
        <v>136</v>
      </c>
      <c r="B17" s="1" t="s">
        <v>137</v>
      </c>
      <c r="C17" s="1" t="s">
        <v>138</v>
      </c>
      <c r="D17" s="1" t="s">
        <v>9</v>
      </c>
      <c r="E17" s="1" t="s">
        <v>10</v>
      </c>
      <c r="F17">
        <v>37902.35</v>
      </c>
      <c r="G17" t="s">
        <v>124</v>
      </c>
      <c r="H17" s="2">
        <v>43823</v>
      </c>
      <c r="I17">
        <v>1</v>
      </c>
      <c r="J17" s="1" t="s">
        <v>11</v>
      </c>
      <c r="K17" s="1" t="s">
        <v>35</v>
      </c>
      <c r="L17">
        <v>6.6410958904109592</v>
      </c>
      <c r="M17" t="s">
        <v>92</v>
      </c>
    </row>
    <row r="18" spans="1:13" x14ac:dyDescent="0.3">
      <c r="A18" s="1" t="s">
        <v>139</v>
      </c>
      <c r="B18" s="1" t="s">
        <v>140</v>
      </c>
      <c r="C18" s="1" t="s">
        <v>141</v>
      </c>
      <c r="D18" s="1" t="s">
        <v>19</v>
      </c>
      <c r="E18" s="1" t="s">
        <v>41</v>
      </c>
      <c r="F18">
        <v>39969.72</v>
      </c>
      <c r="G18" t="s">
        <v>124</v>
      </c>
      <c r="H18" s="2">
        <v>43444</v>
      </c>
      <c r="I18">
        <v>1</v>
      </c>
      <c r="J18" s="1" t="s">
        <v>132</v>
      </c>
      <c r="K18" s="1" t="s">
        <v>17</v>
      </c>
      <c r="L18">
        <v>7.6794520547945204</v>
      </c>
      <c r="M18" t="s">
        <v>92</v>
      </c>
    </row>
    <row r="19" spans="1:13" x14ac:dyDescent="0.3">
      <c r="A19" s="1" t="s">
        <v>142</v>
      </c>
      <c r="B19" s="1" t="s">
        <v>143</v>
      </c>
      <c r="C19" s="1" t="s">
        <v>117</v>
      </c>
      <c r="D19" s="1" t="s">
        <v>19</v>
      </c>
      <c r="E19" s="1" t="s">
        <v>43</v>
      </c>
      <c r="F19">
        <v>69913.39</v>
      </c>
      <c r="G19" t="s">
        <v>95</v>
      </c>
      <c r="H19" s="2">
        <v>43584</v>
      </c>
      <c r="I19">
        <v>1</v>
      </c>
      <c r="J19" s="1" t="s">
        <v>11</v>
      </c>
      <c r="K19" s="1" t="s">
        <v>20</v>
      </c>
      <c r="L19">
        <v>7.2958904109589042</v>
      </c>
      <c r="M19" t="s">
        <v>92</v>
      </c>
    </row>
    <row r="20" spans="1:13" x14ac:dyDescent="0.3">
      <c r="A20" s="1" t="s">
        <v>144</v>
      </c>
      <c r="B20" s="1" t="s">
        <v>145</v>
      </c>
      <c r="C20" s="1" t="s">
        <v>146</v>
      </c>
      <c r="D20" s="1" t="s">
        <v>19</v>
      </c>
      <c r="E20" s="1" t="s">
        <v>33</v>
      </c>
      <c r="F20">
        <v>52748.63</v>
      </c>
      <c r="G20" t="s">
        <v>95</v>
      </c>
      <c r="H20" s="2">
        <v>43857</v>
      </c>
      <c r="I20">
        <v>1</v>
      </c>
      <c r="J20" s="1" t="s">
        <v>11</v>
      </c>
      <c r="K20" s="1" t="s">
        <v>35</v>
      </c>
      <c r="L20">
        <v>6.5479452054794525</v>
      </c>
      <c r="M20" t="s">
        <v>92</v>
      </c>
    </row>
    <row r="21" spans="1:13" x14ac:dyDescent="0.3">
      <c r="A21" s="1" t="s">
        <v>30</v>
      </c>
      <c r="B21" s="1" t="s">
        <v>147</v>
      </c>
      <c r="C21" s="1" t="s">
        <v>148</v>
      </c>
      <c r="D21" s="1" t="s">
        <v>19</v>
      </c>
      <c r="E21" s="1" t="s">
        <v>31</v>
      </c>
      <c r="F21">
        <v>50310.09</v>
      </c>
      <c r="G21" t="s">
        <v>95</v>
      </c>
      <c r="H21" s="2">
        <v>44285</v>
      </c>
      <c r="I21">
        <v>0.4</v>
      </c>
      <c r="J21" s="1" t="s">
        <v>11</v>
      </c>
      <c r="K21" s="1" t="s">
        <v>15</v>
      </c>
      <c r="L21">
        <v>5.375342465753425</v>
      </c>
      <c r="M21" t="s">
        <v>96</v>
      </c>
    </row>
    <row r="22" spans="1:13" x14ac:dyDescent="0.3">
      <c r="A22" s="1" t="s">
        <v>29</v>
      </c>
      <c r="B22" s="1" t="s">
        <v>117</v>
      </c>
      <c r="C22" s="1" t="s">
        <v>149</v>
      </c>
      <c r="D22" s="1" t="s">
        <v>19</v>
      </c>
      <c r="E22" s="1" t="s">
        <v>27</v>
      </c>
      <c r="F22">
        <v>52963.65</v>
      </c>
      <c r="G22" t="s">
        <v>95</v>
      </c>
      <c r="H22" s="2">
        <v>44288</v>
      </c>
      <c r="I22">
        <v>0.3</v>
      </c>
      <c r="J22" s="1" t="s">
        <v>11</v>
      </c>
      <c r="K22" s="1" t="s">
        <v>17</v>
      </c>
      <c r="L22">
        <v>5.3671232876712329</v>
      </c>
      <c r="M22" t="s">
        <v>96</v>
      </c>
    </row>
    <row r="23" spans="1:13" x14ac:dyDescent="0.3">
      <c r="A23" s="1" t="s">
        <v>69</v>
      </c>
      <c r="B23" s="1" t="s">
        <v>150</v>
      </c>
      <c r="C23" s="1" t="s">
        <v>151</v>
      </c>
      <c r="D23" s="1" t="s">
        <v>19</v>
      </c>
      <c r="E23" s="1" t="s">
        <v>58</v>
      </c>
      <c r="F23">
        <v>62195.47</v>
      </c>
      <c r="G23" t="s">
        <v>95</v>
      </c>
      <c r="H23" s="2">
        <v>44434</v>
      </c>
      <c r="I23">
        <v>1</v>
      </c>
      <c r="J23" s="1" t="s">
        <v>11</v>
      </c>
      <c r="K23" s="1" t="s">
        <v>20</v>
      </c>
      <c r="L23">
        <v>4.9671232876712326</v>
      </c>
      <c r="M23" t="s">
        <v>92</v>
      </c>
    </row>
    <row r="24" spans="1:13" x14ac:dyDescent="0.3">
      <c r="A24" s="1" t="s">
        <v>152</v>
      </c>
      <c r="B24" s="1" t="s">
        <v>153</v>
      </c>
      <c r="C24" s="1" t="s">
        <v>154</v>
      </c>
      <c r="D24" s="1" t="s">
        <v>19</v>
      </c>
      <c r="E24" s="1" t="s">
        <v>41</v>
      </c>
      <c r="F24">
        <v>43329.22</v>
      </c>
      <c r="G24" t="s">
        <v>124</v>
      </c>
      <c r="H24" s="2">
        <v>43809</v>
      </c>
      <c r="I24">
        <v>0.5</v>
      </c>
      <c r="J24" s="1" t="s">
        <v>103</v>
      </c>
      <c r="K24" s="1" t="s">
        <v>20</v>
      </c>
      <c r="L24">
        <v>6.6794520547945204</v>
      </c>
      <c r="M24" t="s">
        <v>96</v>
      </c>
    </row>
    <row r="25" spans="1:13" x14ac:dyDescent="0.3">
      <c r="A25" s="1" t="s">
        <v>155</v>
      </c>
      <c r="B25" s="1" t="s">
        <v>156</v>
      </c>
      <c r="C25" s="1" t="s">
        <v>157</v>
      </c>
      <c r="D25" s="1" t="s">
        <v>9</v>
      </c>
      <c r="E25" s="1" t="s">
        <v>10</v>
      </c>
      <c r="F25">
        <v>71570.990000000005</v>
      </c>
      <c r="G25" t="s">
        <v>95</v>
      </c>
      <c r="H25" s="2">
        <v>44249</v>
      </c>
      <c r="I25">
        <v>0.5</v>
      </c>
      <c r="J25" s="1" t="s">
        <v>11</v>
      </c>
      <c r="K25" s="1" t="s">
        <v>15</v>
      </c>
      <c r="L25">
        <v>5.4739726027397264</v>
      </c>
      <c r="M25" t="s">
        <v>96</v>
      </c>
    </row>
    <row r="26" spans="1:13" x14ac:dyDescent="0.3">
      <c r="A26" s="1" t="s">
        <v>158</v>
      </c>
      <c r="B26" s="1" t="s">
        <v>159</v>
      </c>
      <c r="C26" s="1" t="s">
        <v>160</v>
      </c>
      <c r="D26" s="1" t="s">
        <v>112</v>
      </c>
      <c r="E26" s="1" t="s">
        <v>10</v>
      </c>
      <c r="F26">
        <v>78840.23</v>
      </c>
      <c r="G26" t="s">
        <v>95</v>
      </c>
      <c r="H26" s="2">
        <v>43633</v>
      </c>
      <c r="I26">
        <v>1</v>
      </c>
      <c r="J26" s="1" t="s">
        <v>132</v>
      </c>
      <c r="K26" s="1" t="s">
        <v>20</v>
      </c>
      <c r="L26">
        <v>7.161643835616438</v>
      </c>
      <c r="M26" t="s">
        <v>92</v>
      </c>
    </row>
    <row r="27" spans="1:13" x14ac:dyDescent="0.3">
      <c r="A27" s="1" t="s">
        <v>62</v>
      </c>
      <c r="B27" s="1" t="s">
        <v>161</v>
      </c>
      <c r="C27" s="1" t="s">
        <v>162</v>
      </c>
      <c r="D27" s="1" t="s">
        <v>9</v>
      </c>
      <c r="E27" s="1" t="s">
        <v>31</v>
      </c>
      <c r="F27">
        <v>61994.76</v>
      </c>
      <c r="G27" t="s">
        <v>95</v>
      </c>
      <c r="H27" s="2">
        <v>43794</v>
      </c>
      <c r="I27">
        <v>0.3</v>
      </c>
      <c r="J27" s="1" t="s">
        <v>11</v>
      </c>
      <c r="K27" s="1" t="s">
        <v>15</v>
      </c>
      <c r="L27">
        <v>6.720547945205479</v>
      </c>
      <c r="M27" t="s">
        <v>96</v>
      </c>
    </row>
    <row r="28" spans="1:13" x14ac:dyDescent="0.3">
      <c r="A28" s="1" t="s">
        <v>67</v>
      </c>
      <c r="B28" s="1" t="s">
        <v>163</v>
      </c>
      <c r="C28" s="1" t="s">
        <v>164</v>
      </c>
      <c r="D28" s="1" t="s">
        <v>9</v>
      </c>
      <c r="E28" s="1" t="s">
        <v>43</v>
      </c>
      <c r="F28">
        <v>89690.38</v>
      </c>
      <c r="G28" t="s">
        <v>95</v>
      </c>
      <c r="H28" s="2">
        <v>43206</v>
      </c>
      <c r="I28">
        <v>1</v>
      </c>
      <c r="J28" s="1" t="s">
        <v>11</v>
      </c>
      <c r="K28" s="1" t="s">
        <v>12</v>
      </c>
      <c r="L28">
        <v>8.331506849315069</v>
      </c>
      <c r="M28" t="s">
        <v>92</v>
      </c>
    </row>
    <row r="29" spans="1:13" x14ac:dyDescent="0.3">
      <c r="A29" s="1" t="s">
        <v>59</v>
      </c>
      <c r="B29" s="1" t="s">
        <v>165</v>
      </c>
      <c r="C29" s="1" t="s">
        <v>117</v>
      </c>
      <c r="D29" s="1" t="s">
        <v>19</v>
      </c>
      <c r="E29" s="1" t="s">
        <v>46</v>
      </c>
      <c r="F29">
        <v>104335.03999999999</v>
      </c>
      <c r="G29" t="s">
        <v>91</v>
      </c>
      <c r="H29" s="2">
        <v>43874</v>
      </c>
      <c r="I29">
        <v>1</v>
      </c>
      <c r="J29" s="1" t="s">
        <v>11</v>
      </c>
      <c r="K29" s="1" t="s">
        <v>17</v>
      </c>
      <c r="L29">
        <v>6.5013698630136982</v>
      </c>
      <c r="M29" t="s">
        <v>92</v>
      </c>
    </row>
    <row r="30" spans="1:13" x14ac:dyDescent="0.3">
      <c r="A30" s="1" t="s">
        <v>166</v>
      </c>
      <c r="B30" s="1" t="s">
        <v>167</v>
      </c>
      <c r="C30" s="1" t="s">
        <v>168</v>
      </c>
      <c r="D30" s="1" t="s">
        <v>19</v>
      </c>
      <c r="E30" s="1" t="s">
        <v>27</v>
      </c>
      <c r="F30">
        <v>52246.29</v>
      </c>
      <c r="G30" t="s">
        <v>95</v>
      </c>
      <c r="H30" s="2">
        <v>43573</v>
      </c>
      <c r="I30">
        <v>1</v>
      </c>
      <c r="J30" s="1" t="s">
        <v>132</v>
      </c>
      <c r="K30" s="1" t="s">
        <v>12</v>
      </c>
      <c r="L30">
        <v>7.3260273972602743</v>
      </c>
      <c r="M30" t="s">
        <v>92</v>
      </c>
    </row>
    <row r="31" spans="1:13" x14ac:dyDescent="0.3">
      <c r="A31" s="1" t="s">
        <v>169</v>
      </c>
      <c r="B31" s="1" t="s">
        <v>170</v>
      </c>
      <c r="C31" s="1" t="s">
        <v>171</v>
      </c>
      <c r="D31" s="1" t="s">
        <v>19</v>
      </c>
      <c r="E31" s="1" t="s">
        <v>25</v>
      </c>
      <c r="F31">
        <v>90697.67</v>
      </c>
      <c r="G31" t="s">
        <v>95</v>
      </c>
      <c r="H31" s="2">
        <v>44221</v>
      </c>
      <c r="I31">
        <v>0.8</v>
      </c>
      <c r="J31" s="1" t="s">
        <v>11</v>
      </c>
      <c r="K31" s="1" t="s">
        <v>37</v>
      </c>
      <c r="L31">
        <v>5.5506849315068489</v>
      </c>
      <c r="M31" t="s">
        <v>96</v>
      </c>
    </row>
    <row r="32" spans="1:13" x14ac:dyDescent="0.3">
      <c r="A32" s="1" t="s">
        <v>172</v>
      </c>
      <c r="B32" s="1" t="s">
        <v>173</v>
      </c>
      <c r="C32" s="1" t="s">
        <v>117</v>
      </c>
      <c r="D32" s="1" t="s">
        <v>19</v>
      </c>
      <c r="E32" s="1" t="s">
        <v>14</v>
      </c>
      <c r="F32">
        <v>90884.32</v>
      </c>
      <c r="G32" t="s">
        <v>95</v>
      </c>
      <c r="H32" s="2">
        <v>43826</v>
      </c>
      <c r="I32">
        <v>1</v>
      </c>
      <c r="J32" s="1" t="s">
        <v>11</v>
      </c>
      <c r="K32" s="1" t="s">
        <v>17</v>
      </c>
      <c r="L32">
        <v>6.6328767123287671</v>
      </c>
      <c r="M32" t="s">
        <v>92</v>
      </c>
    </row>
    <row r="33" spans="1:13" x14ac:dyDescent="0.3">
      <c r="A33" s="1" t="s">
        <v>174</v>
      </c>
      <c r="B33" s="1" t="s">
        <v>175</v>
      </c>
      <c r="C33" s="1" t="s">
        <v>117</v>
      </c>
      <c r="D33" s="1" t="s">
        <v>19</v>
      </c>
      <c r="E33" s="1" t="s">
        <v>31</v>
      </c>
      <c r="F33">
        <v>76320.44</v>
      </c>
      <c r="G33" t="s">
        <v>95</v>
      </c>
      <c r="H33" s="2">
        <v>44383</v>
      </c>
      <c r="I33">
        <v>0.8</v>
      </c>
      <c r="J33" s="1" t="s">
        <v>132</v>
      </c>
      <c r="K33" s="1" t="s">
        <v>20</v>
      </c>
      <c r="L33">
        <v>5.1068493150684935</v>
      </c>
      <c r="M33" t="s">
        <v>96</v>
      </c>
    </row>
    <row r="34" spans="1:13" x14ac:dyDescent="0.3">
      <c r="A34" s="1" t="s">
        <v>176</v>
      </c>
      <c r="B34" s="1" t="s">
        <v>177</v>
      </c>
      <c r="C34" s="1" t="s">
        <v>178</v>
      </c>
      <c r="D34" s="1" t="s">
        <v>19</v>
      </c>
      <c r="E34" s="1" t="s">
        <v>14</v>
      </c>
      <c r="F34">
        <v>73360.38</v>
      </c>
      <c r="G34" t="s">
        <v>95</v>
      </c>
      <c r="H34" s="2">
        <v>43972</v>
      </c>
      <c r="I34">
        <v>1</v>
      </c>
      <c r="J34" s="1" t="s">
        <v>132</v>
      </c>
      <c r="K34" s="1" t="s">
        <v>20</v>
      </c>
      <c r="L34">
        <v>6.2328767123287667</v>
      </c>
      <c r="M34" t="s">
        <v>92</v>
      </c>
    </row>
    <row r="35" spans="1:13" x14ac:dyDescent="0.3">
      <c r="A35" s="1" t="s">
        <v>48</v>
      </c>
      <c r="B35" s="1" t="s">
        <v>179</v>
      </c>
      <c r="C35" s="1" t="s">
        <v>180</v>
      </c>
      <c r="D35" s="1" t="s">
        <v>9</v>
      </c>
      <c r="E35" s="1" t="s">
        <v>33</v>
      </c>
      <c r="F35">
        <v>50449.46</v>
      </c>
      <c r="G35" t="s">
        <v>95</v>
      </c>
      <c r="H35" s="2">
        <v>43418</v>
      </c>
      <c r="I35">
        <v>0.8</v>
      </c>
      <c r="J35" s="1" t="s">
        <v>11</v>
      </c>
      <c r="K35" s="1" t="s">
        <v>39</v>
      </c>
      <c r="L35">
        <v>7.7506849315068491</v>
      </c>
      <c r="M35" t="s">
        <v>96</v>
      </c>
    </row>
    <row r="36" spans="1:13" x14ac:dyDescent="0.3">
      <c r="A36" s="1" t="s">
        <v>181</v>
      </c>
      <c r="B36" s="1" t="s">
        <v>182</v>
      </c>
      <c r="C36" s="1" t="s">
        <v>183</v>
      </c>
      <c r="D36" s="1" t="s">
        <v>19</v>
      </c>
      <c r="E36" s="1" t="s">
        <v>10</v>
      </c>
      <c r="F36">
        <v>53949.26</v>
      </c>
      <c r="G36" t="s">
        <v>95</v>
      </c>
      <c r="H36" s="2">
        <v>43808</v>
      </c>
      <c r="I36">
        <v>1</v>
      </c>
      <c r="J36" s="1" t="s">
        <v>132</v>
      </c>
      <c r="K36" s="1" t="s">
        <v>17</v>
      </c>
      <c r="L36">
        <v>6.6821917808219178</v>
      </c>
      <c r="M36" t="s">
        <v>92</v>
      </c>
    </row>
    <row r="37" spans="1:13" x14ac:dyDescent="0.3">
      <c r="A37" s="1" t="s">
        <v>184</v>
      </c>
      <c r="B37" s="1" t="s">
        <v>185</v>
      </c>
      <c r="C37" s="1" t="s">
        <v>186</v>
      </c>
      <c r="D37" s="1" t="s">
        <v>19</v>
      </c>
      <c r="E37" s="1" t="s">
        <v>25</v>
      </c>
      <c r="F37">
        <v>113616.23</v>
      </c>
      <c r="G37" t="s">
        <v>91</v>
      </c>
      <c r="H37" s="2">
        <v>43255</v>
      </c>
      <c r="I37">
        <v>1</v>
      </c>
      <c r="J37" s="1" t="s">
        <v>11</v>
      </c>
      <c r="K37" s="1" t="s">
        <v>20</v>
      </c>
      <c r="L37">
        <v>8.1972602739726028</v>
      </c>
      <c r="M37" t="s">
        <v>92</v>
      </c>
    </row>
    <row r="38" spans="1:13" x14ac:dyDescent="0.3">
      <c r="A38" s="1" t="s">
        <v>187</v>
      </c>
      <c r="B38" s="1" t="s">
        <v>188</v>
      </c>
      <c r="C38" s="1" t="s">
        <v>117</v>
      </c>
      <c r="D38" s="1" t="s">
        <v>9</v>
      </c>
      <c r="E38" s="1" t="s">
        <v>46</v>
      </c>
      <c r="F38">
        <v>110906.35</v>
      </c>
      <c r="G38" t="s">
        <v>91</v>
      </c>
      <c r="H38" s="2">
        <v>43434</v>
      </c>
      <c r="I38">
        <v>1</v>
      </c>
      <c r="J38" s="1" t="s">
        <v>132</v>
      </c>
      <c r="K38" s="1" t="s">
        <v>12</v>
      </c>
      <c r="L38">
        <v>7.7068493150684931</v>
      </c>
      <c r="M38" t="s">
        <v>92</v>
      </c>
    </row>
    <row r="39" spans="1:13" x14ac:dyDescent="0.3">
      <c r="A39" s="1" t="s">
        <v>189</v>
      </c>
      <c r="B39" s="1" t="s">
        <v>190</v>
      </c>
      <c r="C39" s="1" t="s">
        <v>191</v>
      </c>
      <c r="D39" s="1" t="s">
        <v>9</v>
      </c>
      <c r="E39" s="1" t="s">
        <v>54</v>
      </c>
      <c r="F39">
        <v>100371.31</v>
      </c>
      <c r="G39" t="s">
        <v>91</v>
      </c>
      <c r="H39" s="2">
        <v>44067</v>
      </c>
      <c r="I39">
        <v>0.8</v>
      </c>
      <c r="J39" s="1" t="s">
        <v>103</v>
      </c>
      <c r="K39" s="1" t="s">
        <v>39</v>
      </c>
      <c r="L39">
        <v>5.9726027397260273</v>
      </c>
      <c r="M39" t="s">
        <v>96</v>
      </c>
    </row>
    <row r="40" spans="1:13" x14ac:dyDescent="0.3">
      <c r="A40" s="1" t="s">
        <v>192</v>
      </c>
      <c r="B40" s="1" t="s">
        <v>193</v>
      </c>
      <c r="C40" s="1" t="s">
        <v>194</v>
      </c>
      <c r="D40" s="1" t="s">
        <v>9</v>
      </c>
      <c r="E40" s="1" t="s">
        <v>27</v>
      </c>
      <c r="F40">
        <v>69163.39</v>
      </c>
      <c r="G40" t="s">
        <v>95</v>
      </c>
      <c r="H40" s="2">
        <v>43397</v>
      </c>
      <c r="I40">
        <v>1</v>
      </c>
      <c r="J40" s="1" t="s">
        <v>11</v>
      </c>
      <c r="K40" s="1" t="s">
        <v>20</v>
      </c>
      <c r="L40">
        <v>7.8082191780821919</v>
      </c>
      <c r="M40" t="s">
        <v>92</v>
      </c>
    </row>
    <row r="41" spans="1:13" x14ac:dyDescent="0.3">
      <c r="A41" s="1" t="s">
        <v>195</v>
      </c>
      <c r="B41" s="1" t="s">
        <v>196</v>
      </c>
      <c r="C41" s="1" t="s">
        <v>197</v>
      </c>
      <c r="D41" s="1" t="s">
        <v>19</v>
      </c>
      <c r="E41" s="1" t="s">
        <v>10</v>
      </c>
      <c r="F41">
        <v>114691.03</v>
      </c>
      <c r="G41" t="s">
        <v>91</v>
      </c>
      <c r="H41" s="2">
        <v>44039</v>
      </c>
      <c r="I41">
        <v>1</v>
      </c>
      <c r="J41" s="1" t="s">
        <v>132</v>
      </c>
      <c r="K41" s="1" t="s">
        <v>12</v>
      </c>
      <c r="L41">
        <v>6.0493150684931507</v>
      </c>
      <c r="M41" t="s">
        <v>92</v>
      </c>
    </row>
    <row r="42" spans="1:13" x14ac:dyDescent="0.3">
      <c r="A42" s="1" t="s">
        <v>198</v>
      </c>
      <c r="B42" s="1" t="s">
        <v>199</v>
      </c>
      <c r="C42" s="1" t="s">
        <v>200</v>
      </c>
      <c r="D42" s="1" t="s">
        <v>19</v>
      </c>
      <c r="E42" s="1" t="s">
        <v>31</v>
      </c>
      <c r="F42">
        <v>86556.96</v>
      </c>
      <c r="G42" t="s">
        <v>95</v>
      </c>
      <c r="H42" s="2">
        <v>44104</v>
      </c>
      <c r="I42">
        <v>1</v>
      </c>
      <c r="J42" s="1" t="s">
        <v>11</v>
      </c>
      <c r="K42" s="1" t="s">
        <v>15</v>
      </c>
      <c r="L42">
        <v>5.8712328767123285</v>
      </c>
      <c r="M42" t="s">
        <v>92</v>
      </c>
    </row>
    <row r="43" spans="1:13" x14ac:dyDescent="0.3">
      <c r="A43" s="1" t="s">
        <v>201</v>
      </c>
      <c r="B43" s="1" t="s">
        <v>202</v>
      </c>
      <c r="C43" s="1" t="s">
        <v>117</v>
      </c>
      <c r="D43" s="1" t="s">
        <v>9</v>
      </c>
      <c r="E43" s="1" t="s">
        <v>43</v>
      </c>
      <c r="F43">
        <v>31172.77</v>
      </c>
      <c r="G43" t="s">
        <v>124</v>
      </c>
      <c r="H43" s="2">
        <v>43665</v>
      </c>
      <c r="I43">
        <v>1</v>
      </c>
      <c r="J43" s="1" t="s">
        <v>103</v>
      </c>
      <c r="K43" s="1" t="s">
        <v>20</v>
      </c>
      <c r="L43">
        <v>7.0739726027397261</v>
      </c>
      <c r="M43" t="s">
        <v>92</v>
      </c>
    </row>
    <row r="44" spans="1:13" x14ac:dyDescent="0.3">
      <c r="A44" s="1" t="s">
        <v>203</v>
      </c>
      <c r="B44" s="1" t="s">
        <v>204</v>
      </c>
      <c r="C44" s="1" t="s">
        <v>205</v>
      </c>
      <c r="D44" s="1" t="s">
        <v>19</v>
      </c>
      <c r="E44" s="1" t="s">
        <v>14</v>
      </c>
      <c r="F44">
        <v>80169.42</v>
      </c>
      <c r="G44" t="s">
        <v>95</v>
      </c>
      <c r="H44" s="2">
        <v>44053</v>
      </c>
      <c r="I44">
        <v>1</v>
      </c>
      <c r="J44" s="1" t="s">
        <v>11</v>
      </c>
      <c r="K44" s="1" t="s">
        <v>39</v>
      </c>
      <c r="L44">
        <v>6.0109589041095894</v>
      </c>
      <c r="M44" t="s">
        <v>92</v>
      </c>
    </row>
    <row r="45" spans="1:13" x14ac:dyDescent="0.3">
      <c r="A45" s="1" t="s">
        <v>181</v>
      </c>
      <c r="B45" s="1" t="s">
        <v>182</v>
      </c>
      <c r="C45" s="1" t="s">
        <v>183</v>
      </c>
      <c r="D45" s="1" t="s">
        <v>19</v>
      </c>
      <c r="E45" s="1" t="s">
        <v>10</v>
      </c>
      <c r="F45">
        <v>53949.26</v>
      </c>
      <c r="G45" t="s">
        <v>95</v>
      </c>
      <c r="H45" s="2">
        <v>43808</v>
      </c>
      <c r="I45">
        <v>1</v>
      </c>
      <c r="J45" s="1" t="s">
        <v>132</v>
      </c>
      <c r="K45" s="1" t="s">
        <v>17</v>
      </c>
      <c r="L45">
        <v>6.6821917808219178</v>
      </c>
      <c r="M45" t="s">
        <v>92</v>
      </c>
    </row>
    <row r="46" spans="1:13" x14ac:dyDescent="0.3">
      <c r="A46" s="1" t="s">
        <v>206</v>
      </c>
      <c r="B46" s="1" t="s">
        <v>207</v>
      </c>
      <c r="C46" s="1" t="s">
        <v>208</v>
      </c>
      <c r="D46" s="1" t="s">
        <v>9</v>
      </c>
      <c r="E46" s="1" t="s">
        <v>54</v>
      </c>
      <c r="F46">
        <v>58935.92</v>
      </c>
      <c r="G46" t="s">
        <v>95</v>
      </c>
      <c r="H46" s="2">
        <v>43717</v>
      </c>
      <c r="I46">
        <v>1</v>
      </c>
      <c r="J46" s="1" t="s">
        <v>132</v>
      </c>
      <c r="K46" s="1" t="s">
        <v>15</v>
      </c>
      <c r="L46">
        <v>6.9315068493150687</v>
      </c>
      <c r="M46" t="s">
        <v>92</v>
      </c>
    </row>
    <row r="47" spans="1:13" x14ac:dyDescent="0.3">
      <c r="A47" s="1" t="s">
        <v>209</v>
      </c>
      <c r="B47" s="1" t="s">
        <v>210</v>
      </c>
      <c r="C47" s="1" t="s">
        <v>211</v>
      </c>
      <c r="D47" s="1" t="s">
        <v>9</v>
      </c>
      <c r="E47" s="1" t="s">
        <v>54</v>
      </c>
      <c r="F47">
        <v>63555.73</v>
      </c>
      <c r="G47" t="s">
        <v>95</v>
      </c>
      <c r="H47" s="2">
        <v>44159</v>
      </c>
      <c r="I47">
        <v>1</v>
      </c>
      <c r="J47" s="1" t="s">
        <v>11</v>
      </c>
      <c r="K47" s="1" t="s">
        <v>35</v>
      </c>
      <c r="L47">
        <v>5.720547945205479</v>
      </c>
      <c r="M47" t="s">
        <v>92</v>
      </c>
    </row>
    <row r="48" spans="1:13" x14ac:dyDescent="0.3">
      <c r="A48" s="1" t="s">
        <v>212</v>
      </c>
      <c r="B48" s="1" t="s">
        <v>213</v>
      </c>
      <c r="C48" s="1" t="s">
        <v>117</v>
      </c>
      <c r="D48" s="1" t="s">
        <v>19</v>
      </c>
      <c r="E48" s="1" t="s">
        <v>27</v>
      </c>
      <c r="F48">
        <v>57419.35</v>
      </c>
      <c r="G48" t="s">
        <v>95</v>
      </c>
      <c r="H48" s="2">
        <v>43305</v>
      </c>
      <c r="I48">
        <v>1</v>
      </c>
      <c r="J48" s="1" t="s">
        <v>103</v>
      </c>
      <c r="K48" s="1" t="s">
        <v>39</v>
      </c>
      <c r="L48">
        <v>8.0602739726027401</v>
      </c>
      <c r="M48" t="s">
        <v>92</v>
      </c>
    </row>
    <row r="49" spans="1:13" x14ac:dyDescent="0.3">
      <c r="A49" s="1" t="s">
        <v>214</v>
      </c>
      <c r="B49" s="1" t="s">
        <v>215</v>
      </c>
      <c r="C49" s="1" t="s">
        <v>216</v>
      </c>
      <c r="D49" s="1" t="s">
        <v>9</v>
      </c>
      <c r="E49" s="1" t="s">
        <v>46</v>
      </c>
      <c r="F49">
        <v>67818.14</v>
      </c>
      <c r="G49" t="s">
        <v>95</v>
      </c>
      <c r="H49" s="2">
        <v>43406</v>
      </c>
      <c r="I49">
        <v>0.6</v>
      </c>
      <c r="J49" s="1" t="s">
        <v>103</v>
      </c>
      <c r="K49" s="1" t="s">
        <v>20</v>
      </c>
      <c r="L49">
        <v>7.7835616438356166</v>
      </c>
      <c r="M49" t="s">
        <v>96</v>
      </c>
    </row>
    <row r="50" spans="1:13" x14ac:dyDescent="0.3">
      <c r="A50" s="1" t="s">
        <v>217</v>
      </c>
      <c r="B50" s="1" t="s">
        <v>218</v>
      </c>
      <c r="C50" s="1" t="s">
        <v>219</v>
      </c>
      <c r="D50" s="1" t="s">
        <v>9</v>
      </c>
      <c r="E50" s="1" t="s">
        <v>41</v>
      </c>
      <c r="F50">
        <v>44403.77</v>
      </c>
      <c r="G50" t="s">
        <v>124</v>
      </c>
      <c r="H50" s="2">
        <v>43416</v>
      </c>
      <c r="I50">
        <v>1</v>
      </c>
      <c r="J50" s="1" t="s">
        <v>11</v>
      </c>
      <c r="K50" s="1" t="s">
        <v>15</v>
      </c>
      <c r="L50">
        <v>7.7561643835616438</v>
      </c>
      <c r="M50" t="s">
        <v>92</v>
      </c>
    </row>
    <row r="51" spans="1:13" x14ac:dyDescent="0.3">
      <c r="A51" s="1" t="s">
        <v>220</v>
      </c>
      <c r="B51" s="1" t="s">
        <v>221</v>
      </c>
      <c r="C51" s="1" t="s">
        <v>222</v>
      </c>
      <c r="D51" s="1" t="s">
        <v>19</v>
      </c>
      <c r="E51" s="1" t="s">
        <v>22</v>
      </c>
      <c r="F51">
        <v>40753.54</v>
      </c>
      <c r="G51" t="s">
        <v>124</v>
      </c>
      <c r="H51" s="2">
        <v>43152</v>
      </c>
      <c r="I51">
        <v>0.6</v>
      </c>
      <c r="J51" s="1" t="s">
        <v>11</v>
      </c>
      <c r="K51" s="1" t="s">
        <v>12</v>
      </c>
      <c r="L51">
        <v>8.4794520547945211</v>
      </c>
      <c r="M51" t="s">
        <v>96</v>
      </c>
    </row>
    <row r="52" spans="1:13" x14ac:dyDescent="0.3">
      <c r="A52" s="1" t="s">
        <v>56</v>
      </c>
      <c r="B52" s="1" t="s">
        <v>223</v>
      </c>
      <c r="C52" s="1" t="s">
        <v>224</v>
      </c>
      <c r="D52" s="1" t="s">
        <v>9</v>
      </c>
      <c r="E52" s="1" t="s">
        <v>10</v>
      </c>
      <c r="F52">
        <v>102934.09</v>
      </c>
      <c r="G52" t="s">
        <v>91</v>
      </c>
      <c r="H52" s="2">
        <v>44315</v>
      </c>
      <c r="I52">
        <v>1</v>
      </c>
      <c r="J52" s="1" t="s">
        <v>11</v>
      </c>
      <c r="K52" s="1" t="s">
        <v>15</v>
      </c>
      <c r="L52">
        <v>5.2931506849315069</v>
      </c>
      <c r="M52" t="s">
        <v>92</v>
      </c>
    </row>
    <row r="53" spans="1:13" x14ac:dyDescent="0.3">
      <c r="A53" s="1" t="s">
        <v>225</v>
      </c>
      <c r="B53" s="1" t="s">
        <v>117</v>
      </c>
      <c r="C53" s="1" t="s">
        <v>226</v>
      </c>
      <c r="D53" s="1" t="s">
        <v>19</v>
      </c>
      <c r="E53" s="1" t="s">
        <v>58</v>
      </c>
      <c r="F53">
        <v>68860.399999999994</v>
      </c>
      <c r="G53" t="s">
        <v>95</v>
      </c>
      <c r="H53" s="2">
        <v>43508</v>
      </c>
      <c r="I53">
        <v>0.4</v>
      </c>
      <c r="J53" s="1" t="s">
        <v>11</v>
      </c>
      <c r="K53" s="1" t="s">
        <v>17</v>
      </c>
      <c r="L53">
        <v>7.5041095890410956</v>
      </c>
      <c r="M53" t="s">
        <v>96</v>
      </c>
    </row>
    <row r="54" spans="1:13" x14ac:dyDescent="0.3">
      <c r="A54" s="1" t="s">
        <v>227</v>
      </c>
      <c r="B54" s="1" t="s">
        <v>228</v>
      </c>
      <c r="C54" s="1" t="s">
        <v>229</v>
      </c>
      <c r="D54" s="1" t="s">
        <v>19</v>
      </c>
      <c r="E54" s="1" t="s">
        <v>10</v>
      </c>
      <c r="F54">
        <v>79567.69</v>
      </c>
      <c r="G54" t="s">
        <v>95</v>
      </c>
      <c r="H54" s="2">
        <v>43272</v>
      </c>
      <c r="I54">
        <v>1</v>
      </c>
      <c r="J54" s="1" t="s">
        <v>103</v>
      </c>
      <c r="K54" s="1" t="s">
        <v>35</v>
      </c>
      <c r="L54">
        <v>8.1506849315068486</v>
      </c>
      <c r="M54" t="s">
        <v>92</v>
      </c>
    </row>
    <row r="55" spans="1:13" x14ac:dyDescent="0.3">
      <c r="A55" s="1" t="s">
        <v>72</v>
      </c>
      <c r="B55" s="1" t="s">
        <v>230</v>
      </c>
      <c r="C55" s="1" t="s">
        <v>231</v>
      </c>
      <c r="D55" s="1" t="s">
        <v>9</v>
      </c>
      <c r="E55" s="1" t="s">
        <v>31</v>
      </c>
      <c r="F55">
        <v>35943.620000000003</v>
      </c>
      <c r="G55" t="s">
        <v>124</v>
      </c>
      <c r="H55" s="2">
        <v>44078</v>
      </c>
      <c r="I55">
        <v>1</v>
      </c>
      <c r="J55" s="1" t="s">
        <v>11</v>
      </c>
      <c r="K55" s="1" t="s">
        <v>17</v>
      </c>
      <c r="L55">
        <v>5.9424657534246572</v>
      </c>
      <c r="M55" t="s">
        <v>92</v>
      </c>
    </row>
    <row r="56" spans="1:13" x14ac:dyDescent="0.3">
      <c r="A56" s="1" t="s">
        <v>232</v>
      </c>
      <c r="B56" s="1" t="s">
        <v>233</v>
      </c>
      <c r="C56" s="1" t="s">
        <v>234</v>
      </c>
      <c r="D56" s="1" t="s">
        <v>9</v>
      </c>
      <c r="E56" s="1" t="s">
        <v>10</v>
      </c>
      <c r="F56">
        <v>116767.63</v>
      </c>
      <c r="G56" t="s">
        <v>91</v>
      </c>
      <c r="H56" s="2">
        <v>43949</v>
      </c>
      <c r="I56">
        <v>0.4</v>
      </c>
      <c r="J56" s="1" t="s">
        <v>132</v>
      </c>
      <c r="K56" s="1" t="s">
        <v>35</v>
      </c>
      <c r="L56">
        <v>6.2958904109589042</v>
      </c>
      <c r="M56" t="s">
        <v>96</v>
      </c>
    </row>
    <row r="57" spans="1:13" x14ac:dyDescent="0.3">
      <c r="A57" s="1" t="s">
        <v>235</v>
      </c>
      <c r="B57" s="1" t="s">
        <v>236</v>
      </c>
      <c r="C57" s="1" t="s">
        <v>237</v>
      </c>
      <c r="D57" s="1" t="s">
        <v>19</v>
      </c>
      <c r="E57" s="1" t="s">
        <v>33</v>
      </c>
      <c r="F57">
        <v>85455.53</v>
      </c>
      <c r="G57" t="s">
        <v>95</v>
      </c>
      <c r="H57" s="2">
        <v>43839</v>
      </c>
      <c r="I57">
        <v>1</v>
      </c>
      <c r="J57" s="1" t="s">
        <v>11</v>
      </c>
      <c r="K57" s="1" t="s">
        <v>12</v>
      </c>
      <c r="L57">
        <v>6.5972602739726032</v>
      </c>
      <c r="M57" t="s">
        <v>92</v>
      </c>
    </row>
    <row r="58" spans="1:13" x14ac:dyDescent="0.3">
      <c r="A58" s="1" t="s">
        <v>238</v>
      </c>
      <c r="B58" s="1" t="s">
        <v>239</v>
      </c>
      <c r="C58" s="1" t="s">
        <v>240</v>
      </c>
      <c r="D58" s="1" t="s">
        <v>9</v>
      </c>
      <c r="E58" s="1" t="s">
        <v>33</v>
      </c>
      <c r="F58">
        <v>39700.82</v>
      </c>
      <c r="G58" t="s">
        <v>124</v>
      </c>
      <c r="H58" s="2">
        <v>44203</v>
      </c>
      <c r="I58">
        <v>0.8</v>
      </c>
      <c r="J58" s="1" t="s">
        <v>11</v>
      </c>
      <c r="K58" s="1" t="s">
        <v>35</v>
      </c>
      <c r="L58">
        <v>5.6</v>
      </c>
      <c r="M58" t="s">
        <v>96</v>
      </c>
    </row>
    <row r="59" spans="1:13" x14ac:dyDescent="0.3">
      <c r="A59" s="1" t="s">
        <v>241</v>
      </c>
      <c r="B59" s="1" t="s">
        <v>242</v>
      </c>
      <c r="C59" s="1" t="s">
        <v>243</v>
      </c>
      <c r="D59" s="1" t="s">
        <v>9</v>
      </c>
      <c r="E59" s="1" t="s">
        <v>46</v>
      </c>
      <c r="F59">
        <v>38438.239999999998</v>
      </c>
      <c r="G59" t="s">
        <v>124</v>
      </c>
      <c r="H59" s="2">
        <v>43962</v>
      </c>
      <c r="I59">
        <v>1</v>
      </c>
      <c r="J59" s="1" t="s">
        <v>11</v>
      </c>
      <c r="K59" s="1" t="s">
        <v>35</v>
      </c>
      <c r="L59">
        <v>6.2602739726027394</v>
      </c>
      <c r="M59" t="s">
        <v>92</v>
      </c>
    </row>
    <row r="60" spans="1:13" x14ac:dyDescent="0.3">
      <c r="A60" s="1" t="s">
        <v>244</v>
      </c>
      <c r="B60" s="1" t="s">
        <v>245</v>
      </c>
      <c r="C60" s="1" t="s">
        <v>246</v>
      </c>
      <c r="D60" s="1" t="s">
        <v>19</v>
      </c>
      <c r="E60" s="1" t="s">
        <v>41</v>
      </c>
      <c r="F60">
        <v>50855.53</v>
      </c>
      <c r="G60" t="s">
        <v>95</v>
      </c>
      <c r="H60" s="2">
        <v>44221</v>
      </c>
      <c r="I60">
        <v>1</v>
      </c>
      <c r="J60" s="1" t="s">
        <v>11</v>
      </c>
      <c r="K60" s="1" t="s">
        <v>12</v>
      </c>
      <c r="L60">
        <v>5.5506849315068489</v>
      </c>
      <c r="M60" t="s">
        <v>92</v>
      </c>
    </row>
    <row r="61" spans="1:13" x14ac:dyDescent="0.3">
      <c r="A61" s="1" t="s">
        <v>63</v>
      </c>
      <c r="B61" s="1" t="s">
        <v>247</v>
      </c>
      <c r="C61" s="1" t="s">
        <v>248</v>
      </c>
      <c r="D61" s="1" t="s">
        <v>19</v>
      </c>
      <c r="E61" s="1" t="s">
        <v>22</v>
      </c>
      <c r="F61">
        <v>37362.300000000003</v>
      </c>
      <c r="G61" t="s">
        <v>124</v>
      </c>
      <c r="H61" s="2">
        <v>43642</v>
      </c>
      <c r="I61">
        <v>1</v>
      </c>
      <c r="J61" s="1" t="s">
        <v>11</v>
      </c>
      <c r="K61" s="1" t="s">
        <v>39</v>
      </c>
      <c r="L61">
        <v>7.1369863013698627</v>
      </c>
      <c r="M61" t="s">
        <v>92</v>
      </c>
    </row>
    <row r="62" spans="1:13" x14ac:dyDescent="0.3">
      <c r="A62" s="1" t="s">
        <v>249</v>
      </c>
      <c r="B62" s="1" t="s">
        <v>250</v>
      </c>
      <c r="C62" s="1" t="s">
        <v>251</v>
      </c>
      <c r="D62" s="1" t="s">
        <v>19</v>
      </c>
      <c r="E62" s="1" t="s">
        <v>31</v>
      </c>
      <c r="F62">
        <v>72876.91</v>
      </c>
      <c r="G62" t="s">
        <v>95</v>
      </c>
      <c r="H62" s="2">
        <v>43612</v>
      </c>
      <c r="I62">
        <v>0.4</v>
      </c>
      <c r="J62" s="1" t="s">
        <v>103</v>
      </c>
      <c r="K62" s="1" t="s">
        <v>39</v>
      </c>
      <c r="L62">
        <v>7.2191780821917808</v>
      </c>
      <c r="M62" t="s">
        <v>96</v>
      </c>
    </row>
    <row r="63" spans="1:13" x14ac:dyDescent="0.3">
      <c r="A63" s="1" t="s">
        <v>252</v>
      </c>
      <c r="B63" s="1" t="s">
        <v>253</v>
      </c>
      <c r="C63" s="1" t="s">
        <v>117</v>
      </c>
      <c r="D63" s="1" t="s">
        <v>9</v>
      </c>
      <c r="E63" s="1" t="s">
        <v>25</v>
      </c>
      <c r="F63">
        <v>31042.51</v>
      </c>
      <c r="G63" t="s">
        <v>124</v>
      </c>
      <c r="H63" s="2">
        <v>44473</v>
      </c>
      <c r="I63">
        <v>0.3</v>
      </c>
      <c r="J63" s="1" t="s">
        <v>103</v>
      </c>
      <c r="K63" s="1" t="s">
        <v>20</v>
      </c>
      <c r="L63">
        <v>4.86027397260274</v>
      </c>
      <c r="M63" t="s">
        <v>96</v>
      </c>
    </row>
    <row r="64" spans="1:13" x14ac:dyDescent="0.3">
      <c r="A64" s="1" t="s">
        <v>24</v>
      </c>
      <c r="B64" s="1" t="s">
        <v>254</v>
      </c>
      <c r="C64" s="1" t="s">
        <v>255</v>
      </c>
      <c r="D64" s="1" t="s">
        <v>9</v>
      </c>
      <c r="E64" s="1" t="s">
        <v>25</v>
      </c>
      <c r="F64">
        <v>63705.4</v>
      </c>
      <c r="G64" t="s">
        <v>95</v>
      </c>
      <c r="H64" s="2">
        <v>43682</v>
      </c>
      <c r="I64">
        <v>1</v>
      </c>
      <c r="J64" s="1" t="s">
        <v>11</v>
      </c>
      <c r="K64" s="1" t="s">
        <v>15</v>
      </c>
      <c r="L64">
        <v>7.0273972602739727</v>
      </c>
      <c r="M64" t="s">
        <v>92</v>
      </c>
    </row>
    <row r="65" spans="1:13" x14ac:dyDescent="0.3">
      <c r="A65" s="1" t="s">
        <v>256</v>
      </c>
      <c r="B65" s="1" t="s">
        <v>257</v>
      </c>
      <c r="C65" s="1" t="s">
        <v>258</v>
      </c>
      <c r="D65" s="1" t="s">
        <v>9</v>
      </c>
      <c r="E65" s="1" t="s">
        <v>33</v>
      </c>
      <c r="F65">
        <v>59434.18</v>
      </c>
      <c r="G65" t="s">
        <v>95</v>
      </c>
      <c r="H65" s="2">
        <v>43931</v>
      </c>
      <c r="I65">
        <v>1</v>
      </c>
      <c r="J65" s="1" t="s">
        <v>132</v>
      </c>
      <c r="K65" s="1" t="s">
        <v>37</v>
      </c>
      <c r="L65">
        <v>6.3452054794520549</v>
      </c>
      <c r="M65" t="s">
        <v>92</v>
      </c>
    </row>
    <row r="66" spans="1:13" x14ac:dyDescent="0.3">
      <c r="A66" s="1" t="s">
        <v>259</v>
      </c>
      <c r="B66" s="1" t="s">
        <v>260</v>
      </c>
      <c r="C66" s="1" t="s">
        <v>261</v>
      </c>
      <c r="D66" s="1" t="s">
        <v>9</v>
      </c>
      <c r="E66" s="1" t="s">
        <v>58</v>
      </c>
      <c r="F66">
        <v>84762.76</v>
      </c>
      <c r="G66" t="s">
        <v>95</v>
      </c>
      <c r="H66" s="2">
        <v>43332</v>
      </c>
      <c r="I66">
        <v>1</v>
      </c>
      <c r="J66" s="1" t="s">
        <v>11</v>
      </c>
      <c r="K66" s="1" t="s">
        <v>15</v>
      </c>
      <c r="L66">
        <v>7.9863013698630141</v>
      </c>
      <c r="M66" t="s">
        <v>92</v>
      </c>
    </row>
    <row r="67" spans="1:13" x14ac:dyDescent="0.3">
      <c r="A67" s="1" t="s">
        <v>262</v>
      </c>
      <c r="B67" s="1" t="s">
        <v>263</v>
      </c>
      <c r="C67" s="1" t="s">
        <v>264</v>
      </c>
      <c r="D67" s="1" t="s">
        <v>9</v>
      </c>
      <c r="E67" s="1" t="s">
        <v>43</v>
      </c>
      <c r="F67">
        <v>69057.320000000007</v>
      </c>
      <c r="G67" t="s">
        <v>95</v>
      </c>
      <c r="H67" s="2">
        <v>43390</v>
      </c>
      <c r="I67">
        <v>1</v>
      </c>
      <c r="J67" s="1" t="s">
        <v>11</v>
      </c>
      <c r="K67" s="1" t="s">
        <v>12</v>
      </c>
      <c r="L67">
        <v>7.8273972602739725</v>
      </c>
      <c r="M67" t="s">
        <v>92</v>
      </c>
    </row>
    <row r="68" spans="1:13" x14ac:dyDescent="0.3">
      <c r="A68" s="1" t="s">
        <v>265</v>
      </c>
      <c r="B68" s="1" t="s">
        <v>266</v>
      </c>
      <c r="C68" s="1" t="s">
        <v>267</v>
      </c>
      <c r="D68" s="1" t="s">
        <v>112</v>
      </c>
      <c r="E68" s="1" t="s">
        <v>31</v>
      </c>
      <c r="F68">
        <v>99448.78</v>
      </c>
      <c r="G68" t="s">
        <v>95</v>
      </c>
      <c r="H68" s="2">
        <v>43473</v>
      </c>
      <c r="I68">
        <v>1</v>
      </c>
      <c r="J68" s="1" t="s">
        <v>103</v>
      </c>
      <c r="K68" s="1" t="s">
        <v>12</v>
      </c>
      <c r="L68">
        <v>7.6</v>
      </c>
      <c r="M68" t="s">
        <v>92</v>
      </c>
    </row>
    <row r="69" spans="1:13" x14ac:dyDescent="0.3">
      <c r="A69" s="1" t="s">
        <v>268</v>
      </c>
      <c r="B69" s="1" t="s">
        <v>269</v>
      </c>
      <c r="C69" s="1" t="s">
        <v>270</v>
      </c>
      <c r="D69" s="1" t="s">
        <v>9</v>
      </c>
      <c r="E69" s="1" t="s">
        <v>46</v>
      </c>
      <c r="F69">
        <v>66865.490000000005</v>
      </c>
      <c r="G69" t="s">
        <v>95</v>
      </c>
      <c r="H69" s="2">
        <v>43514</v>
      </c>
      <c r="I69">
        <v>1</v>
      </c>
      <c r="J69" s="1" t="s">
        <v>11</v>
      </c>
      <c r="K69" s="1" t="s">
        <v>37</v>
      </c>
      <c r="L69">
        <v>7.4876712328767123</v>
      </c>
      <c r="M69" t="s">
        <v>92</v>
      </c>
    </row>
    <row r="70" spans="1:13" x14ac:dyDescent="0.3">
      <c r="A70" s="1" t="s">
        <v>271</v>
      </c>
      <c r="B70" s="1" t="s">
        <v>272</v>
      </c>
      <c r="C70" s="1" t="s">
        <v>273</v>
      </c>
      <c r="D70" s="1" t="s">
        <v>19</v>
      </c>
      <c r="E70" s="1" t="s">
        <v>25</v>
      </c>
      <c r="F70">
        <v>113747.56</v>
      </c>
      <c r="G70" t="s">
        <v>91</v>
      </c>
      <c r="H70" s="2">
        <v>44270</v>
      </c>
      <c r="I70">
        <v>0.7</v>
      </c>
      <c r="J70" s="1" t="s">
        <v>132</v>
      </c>
      <c r="K70" s="1" t="s">
        <v>17</v>
      </c>
      <c r="L70">
        <v>5.4164383561643836</v>
      </c>
      <c r="M70" t="s">
        <v>96</v>
      </c>
    </row>
    <row r="71" spans="1:13" x14ac:dyDescent="0.3">
      <c r="A71" s="1" t="s">
        <v>44</v>
      </c>
      <c r="B71" s="1" t="s">
        <v>274</v>
      </c>
      <c r="C71" s="1" t="s">
        <v>275</v>
      </c>
      <c r="D71" s="1" t="s">
        <v>19</v>
      </c>
      <c r="E71" s="1" t="s">
        <v>14</v>
      </c>
      <c r="F71">
        <v>85918.61</v>
      </c>
      <c r="G71" t="s">
        <v>95</v>
      </c>
      <c r="H71" s="2">
        <v>43136</v>
      </c>
      <c r="I71">
        <v>1</v>
      </c>
      <c r="J71" s="1" t="s">
        <v>11</v>
      </c>
      <c r="K71" s="1" t="s">
        <v>17</v>
      </c>
      <c r="L71">
        <v>8.5232876712328771</v>
      </c>
      <c r="M71" t="s">
        <v>92</v>
      </c>
    </row>
    <row r="72" spans="1:13" x14ac:dyDescent="0.3">
      <c r="A72" s="1" t="s">
        <v>276</v>
      </c>
      <c r="B72" s="1" t="s">
        <v>277</v>
      </c>
      <c r="C72" s="1" t="s">
        <v>278</v>
      </c>
      <c r="D72" s="1" t="s">
        <v>9</v>
      </c>
      <c r="E72" s="1" t="s">
        <v>41</v>
      </c>
      <c r="F72">
        <v>51165.37</v>
      </c>
      <c r="G72" t="s">
        <v>95</v>
      </c>
      <c r="H72" s="2">
        <v>44237</v>
      </c>
      <c r="I72">
        <v>1</v>
      </c>
      <c r="J72" s="1" t="s">
        <v>103</v>
      </c>
      <c r="K72" s="1" t="s">
        <v>15</v>
      </c>
      <c r="L72">
        <v>5.506849315068493</v>
      </c>
      <c r="M72" t="s">
        <v>92</v>
      </c>
    </row>
    <row r="73" spans="1:13" x14ac:dyDescent="0.3">
      <c r="A73" s="1" t="s">
        <v>279</v>
      </c>
      <c r="B73" s="1" t="s">
        <v>280</v>
      </c>
      <c r="C73" s="1" t="s">
        <v>281</v>
      </c>
      <c r="D73" s="1" t="s">
        <v>112</v>
      </c>
      <c r="E73" s="1" t="s">
        <v>31</v>
      </c>
      <c r="F73">
        <v>67957.899999999994</v>
      </c>
      <c r="G73" t="s">
        <v>95</v>
      </c>
      <c r="H73" s="2">
        <v>43430</v>
      </c>
      <c r="I73">
        <v>1</v>
      </c>
      <c r="J73" s="1" t="s">
        <v>11</v>
      </c>
      <c r="K73" s="1" t="s">
        <v>35</v>
      </c>
      <c r="L73">
        <v>7.7178082191780826</v>
      </c>
      <c r="M73" t="s">
        <v>92</v>
      </c>
    </row>
    <row r="74" spans="1:13" x14ac:dyDescent="0.3">
      <c r="A74" s="1" t="s">
        <v>282</v>
      </c>
      <c r="B74" s="1" t="s">
        <v>283</v>
      </c>
      <c r="C74" s="1" t="s">
        <v>284</v>
      </c>
      <c r="D74" s="1" t="s">
        <v>19</v>
      </c>
      <c r="E74" s="1" t="s">
        <v>41</v>
      </c>
      <c r="F74">
        <v>114465.93</v>
      </c>
      <c r="G74" t="s">
        <v>91</v>
      </c>
      <c r="H74" s="2">
        <v>43291</v>
      </c>
      <c r="I74">
        <v>1</v>
      </c>
      <c r="J74" s="1" t="s">
        <v>132</v>
      </c>
      <c r="K74" s="1" t="s">
        <v>12</v>
      </c>
      <c r="L74">
        <v>8.0986301369863014</v>
      </c>
      <c r="M74" t="s">
        <v>92</v>
      </c>
    </row>
    <row r="75" spans="1:13" x14ac:dyDescent="0.3">
      <c r="A75" s="1" t="s">
        <v>74</v>
      </c>
      <c r="B75" s="1" t="s">
        <v>117</v>
      </c>
      <c r="C75" s="1" t="s">
        <v>285</v>
      </c>
      <c r="D75" s="1" t="s">
        <v>19</v>
      </c>
      <c r="E75" s="1" t="s">
        <v>22</v>
      </c>
      <c r="F75">
        <v>65699.02</v>
      </c>
      <c r="G75" t="s">
        <v>95</v>
      </c>
      <c r="H75" s="2">
        <v>43951</v>
      </c>
      <c r="I75">
        <v>1</v>
      </c>
      <c r="J75" s="1" t="s">
        <v>11</v>
      </c>
      <c r="K75" s="1" t="s">
        <v>17</v>
      </c>
      <c r="L75">
        <v>6.2904109589041095</v>
      </c>
      <c r="M75" t="s">
        <v>92</v>
      </c>
    </row>
    <row r="76" spans="1:13" x14ac:dyDescent="0.3">
      <c r="A76" s="1" t="s">
        <v>286</v>
      </c>
      <c r="B76" s="1" t="s">
        <v>287</v>
      </c>
      <c r="C76" s="1" t="s">
        <v>288</v>
      </c>
      <c r="D76" s="1" t="s">
        <v>19</v>
      </c>
      <c r="E76" s="1" t="s">
        <v>58</v>
      </c>
      <c r="F76">
        <v>83191.95</v>
      </c>
      <c r="G76" t="s">
        <v>95</v>
      </c>
      <c r="H76" s="2">
        <v>43700</v>
      </c>
      <c r="I76">
        <v>0.6</v>
      </c>
      <c r="J76" s="1" t="s">
        <v>132</v>
      </c>
      <c r="K76" s="1" t="s">
        <v>20</v>
      </c>
      <c r="L76">
        <v>6.978082191780822</v>
      </c>
      <c r="M76" t="s">
        <v>96</v>
      </c>
    </row>
    <row r="77" spans="1:13" x14ac:dyDescent="0.3">
      <c r="A77" s="1" t="s">
        <v>289</v>
      </c>
      <c r="B77" s="1" t="s">
        <v>290</v>
      </c>
      <c r="C77" s="1" t="s">
        <v>291</v>
      </c>
      <c r="D77" s="1" t="s">
        <v>19</v>
      </c>
      <c r="E77" s="1" t="s">
        <v>46</v>
      </c>
      <c r="F77">
        <v>106775.14</v>
      </c>
      <c r="G77" t="s">
        <v>91</v>
      </c>
      <c r="H77" s="2">
        <v>43563</v>
      </c>
      <c r="I77">
        <v>1</v>
      </c>
      <c r="J77" s="1" t="s">
        <v>103</v>
      </c>
      <c r="K77" s="1" t="s">
        <v>15</v>
      </c>
      <c r="L77">
        <v>7.353424657534247</v>
      </c>
      <c r="M77" t="s">
        <v>92</v>
      </c>
    </row>
    <row r="78" spans="1:13" x14ac:dyDescent="0.3">
      <c r="A78" s="1" t="s">
        <v>292</v>
      </c>
      <c r="B78" s="1" t="s">
        <v>293</v>
      </c>
      <c r="C78" s="1" t="s">
        <v>294</v>
      </c>
      <c r="D78" s="1" t="s">
        <v>19</v>
      </c>
      <c r="E78" s="1" t="s">
        <v>31</v>
      </c>
      <c r="F78">
        <v>83396.5</v>
      </c>
      <c r="G78" t="s">
        <v>95</v>
      </c>
      <c r="H78" s="2">
        <v>44285</v>
      </c>
      <c r="I78">
        <v>1</v>
      </c>
      <c r="J78" s="1" t="s">
        <v>132</v>
      </c>
      <c r="K78" s="1" t="s">
        <v>39</v>
      </c>
      <c r="L78">
        <v>5.375342465753425</v>
      </c>
      <c r="M78" t="s">
        <v>92</v>
      </c>
    </row>
    <row r="79" spans="1:13" x14ac:dyDescent="0.3">
      <c r="A79" s="1" t="s">
        <v>295</v>
      </c>
      <c r="B79" s="1" t="s">
        <v>296</v>
      </c>
      <c r="C79" s="1" t="s">
        <v>297</v>
      </c>
      <c r="D79" s="1" t="s">
        <v>19</v>
      </c>
      <c r="E79" s="1" t="s">
        <v>25</v>
      </c>
      <c r="F79">
        <v>28481.16</v>
      </c>
      <c r="G79" t="s">
        <v>124</v>
      </c>
      <c r="H79" s="2">
        <v>44228</v>
      </c>
      <c r="I79">
        <v>1</v>
      </c>
      <c r="J79" s="1" t="s">
        <v>132</v>
      </c>
      <c r="K79" s="1" t="s">
        <v>35</v>
      </c>
      <c r="L79">
        <v>5.5315068493150683</v>
      </c>
      <c r="M79" t="s">
        <v>92</v>
      </c>
    </row>
    <row r="80" spans="1:13" x14ac:dyDescent="0.3">
      <c r="A80" s="1" t="s">
        <v>65</v>
      </c>
      <c r="B80" s="1" t="s">
        <v>298</v>
      </c>
      <c r="C80" s="1" t="s">
        <v>299</v>
      </c>
      <c r="D80" s="1" t="s">
        <v>19</v>
      </c>
      <c r="E80" s="1" t="s">
        <v>58</v>
      </c>
      <c r="F80">
        <v>32192.15</v>
      </c>
      <c r="G80" t="s">
        <v>124</v>
      </c>
      <c r="H80" s="2">
        <v>44473</v>
      </c>
      <c r="I80">
        <v>1</v>
      </c>
      <c r="J80" s="1" t="s">
        <v>11</v>
      </c>
      <c r="K80" s="1" t="s">
        <v>15</v>
      </c>
      <c r="L80">
        <v>4.86027397260274</v>
      </c>
      <c r="M80" t="s">
        <v>92</v>
      </c>
    </row>
    <row r="81" spans="1:13" x14ac:dyDescent="0.3">
      <c r="A81" s="1" t="s">
        <v>36</v>
      </c>
      <c r="B81" s="1" t="s">
        <v>300</v>
      </c>
      <c r="C81" s="1" t="s">
        <v>117</v>
      </c>
      <c r="D81" s="1" t="s">
        <v>19</v>
      </c>
      <c r="E81" s="1" t="s">
        <v>41</v>
      </c>
      <c r="F81">
        <v>112645.99</v>
      </c>
      <c r="G81" t="s">
        <v>91</v>
      </c>
      <c r="H81" s="2">
        <v>43759</v>
      </c>
      <c r="I81">
        <v>0.6</v>
      </c>
      <c r="J81" s="1" t="s">
        <v>11</v>
      </c>
      <c r="K81" s="1" t="s">
        <v>37</v>
      </c>
      <c r="L81">
        <v>6.816438356164384</v>
      </c>
      <c r="M81" t="s">
        <v>96</v>
      </c>
    </row>
    <row r="82" spans="1:13" x14ac:dyDescent="0.3">
      <c r="A82" s="1" t="s">
        <v>301</v>
      </c>
      <c r="B82" s="1" t="s">
        <v>302</v>
      </c>
      <c r="C82" s="1" t="s">
        <v>303</v>
      </c>
      <c r="D82" s="1" t="s">
        <v>112</v>
      </c>
      <c r="E82" s="1" t="s">
        <v>27</v>
      </c>
      <c r="F82">
        <v>107107.6</v>
      </c>
      <c r="G82" t="s">
        <v>91</v>
      </c>
      <c r="H82" s="2">
        <v>43325</v>
      </c>
      <c r="I82">
        <v>0.9</v>
      </c>
      <c r="J82" s="1" t="s">
        <v>11</v>
      </c>
      <c r="K82" s="1" t="s">
        <v>35</v>
      </c>
      <c r="L82">
        <v>8.0054794520547947</v>
      </c>
      <c r="M82" t="s">
        <v>96</v>
      </c>
    </row>
    <row r="83" spans="1:13" x14ac:dyDescent="0.3">
      <c r="A83" s="1" t="s">
        <v>76</v>
      </c>
      <c r="B83" s="1" t="s">
        <v>304</v>
      </c>
      <c r="C83" s="1" t="s">
        <v>305</v>
      </c>
      <c r="D83" s="1" t="s">
        <v>9</v>
      </c>
      <c r="E83" s="1" t="s">
        <v>14</v>
      </c>
      <c r="F83">
        <v>80695.740000000005</v>
      </c>
      <c r="G83" t="s">
        <v>95</v>
      </c>
      <c r="H83" s="2">
        <v>43787</v>
      </c>
      <c r="I83">
        <v>0.8</v>
      </c>
      <c r="J83" s="1" t="s">
        <v>11</v>
      </c>
      <c r="K83" s="1" t="s">
        <v>17</v>
      </c>
      <c r="L83">
        <v>6.7397260273972606</v>
      </c>
      <c r="M83" t="s">
        <v>96</v>
      </c>
    </row>
    <row r="84" spans="1:13" x14ac:dyDescent="0.3">
      <c r="A84" s="1" t="s">
        <v>306</v>
      </c>
      <c r="B84" s="1" t="s">
        <v>307</v>
      </c>
      <c r="C84" s="1" t="s">
        <v>308</v>
      </c>
      <c r="D84" s="1" t="s">
        <v>9</v>
      </c>
      <c r="E84" s="1" t="s">
        <v>46</v>
      </c>
      <c r="F84">
        <v>75475.929999999993</v>
      </c>
      <c r="G84" t="s">
        <v>95</v>
      </c>
      <c r="H84" s="2">
        <v>43794</v>
      </c>
      <c r="I84">
        <v>1</v>
      </c>
      <c r="J84" s="1" t="s">
        <v>11</v>
      </c>
      <c r="K84" s="1" t="s">
        <v>20</v>
      </c>
      <c r="L84">
        <v>6.720547945205479</v>
      </c>
      <c r="M84" t="s">
        <v>92</v>
      </c>
    </row>
    <row r="85" spans="1:13" x14ac:dyDescent="0.3">
      <c r="A85" s="1" t="s">
        <v>309</v>
      </c>
      <c r="B85" s="1" t="s">
        <v>310</v>
      </c>
      <c r="C85" s="1" t="s">
        <v>311</v>
      </c>
      <c r="D85" s="1" t="s">
        <v>9</v>
      </c>
      <c r="E85" s="1" t="s">
        <v>14</v>
      </c>
      <c r="F85">
        <v>86558.58</v>
      </c>
      <c r="G85" t="s">
        <v>95</v>
      </c>
      <c r="H85" s="2">
        <v>43887</v>
      </c>
      <c r="I85">
        <v>1</v>
      </c>
      <c r="J85" s="1" t="s">
        <v>103</v>
      </c>
      <c r="K85" s="1" t="s">
        <v>20</v>
      </c>
      <c r="L85">
        <v>6.4657534246575343</v>
      </c>
      <c r="M85" t="s">
        <v>92</v>
      </c>
    </row>
    <row r="86" spans="1:13" x14ac:dyDescent="0.3">
      <c r="A86" s="1" t="s">
        <v>32</v>
      </c>
      <c r="B86" s="1" t="s">
        <v>312</v>
      </c>
      <c r="C86" s="1" t="s">
        <v>313</v>
      </c>
      <c r="D86" s="1" t="s">
        <v>9</v>
      </c>
      <c r="E86" s="1" t="s">
        <v>33</v>
      </c>
      <c r="F86">
        <v>84309.95</v>
      </c>
      <c r="G86" t="s">
        <v>95</v>
      </c>
      <c r="H86" s="2">
        <v>44501</v>
      </c>
      <c r="I86">
        <v>1</v>
      </c>
      <c r="J86" s="1" t="s">
        <v>11</v>
      </c>
      <c r="K86" s="1" t="s">
        <v>20</v>
      </c>
      <c r="L86">
        <v>4.7835616438356166</v>
      </c>
      <c r="M86" t="s">
        <v>92</v>
      </c>
    </row>
    <row r="87" spans="1:13" x14ac:dyDescent="0.3">
      <c r="A87" s="1" t="s">
        <v>38</v>
      </c>
      <c r="B87" s="1" t="s">
        <v>314</v>
      </c>
      <c r="C87" s="1" t="s">
        <v>315</v>
      </c>
      <c r="D87" s="1" t="s">
        <v>19</v>
      </c>
      <c r="E87" s="1" t="s">
        <v>27</v>
      </c>
      <c r="F87">
        <v>91645.04</v>
      </c>
      <c r="G87" t="s">
        <v>95</v>
      </c>
      <c r="H87" s="2">
        <v>44223</v>
      </c>
      <c r="I87">
        <v>1</v>
      </c>
      <c r="J87" s="1" t="s">
        <v>11</v>
      </c>
      <c r="K87" s="1" t="s">
        <v>39</v>
      </c>
      <c r="L87">
        <v>5.5452054794520551</v>
      </c>
      <c r="M87" t="s">
        <v>92</v>
      </c>
    </row>
    <row r="88" spans="1:13" x14ac:dyDescent="0.3">
      <c r="A88" s="1" t="s">
        <v>316</v>
      </c>
      <c r="B88" s="1" t="s">
        <v>317</v>
      </c>
      <c r="C88" s="1" t="s">
        <v>318</v>
      </c>
      <c r="D88" s="1" t="s">
        <v>9</v>
      </c>
      <c r="E88" s="1" t="s">
        <v>10</v>
      </c>
      <c r="F88">
        <v>101187.36</v>
      </c>
      <c r="G88" t="s">
        <v>91</v>
      </c>
      <c r="H88" s="2">
        <v>43258</v>
      </c>
      <c r="I88">
        <v>1</v>
      </c>
      <c r="J88" s="1" t="s">
        <v>103</v>
      </c>
      <c r="K88" s="1" t="s">
        <v>17</v>
      </c>
      <c r="L88">
        <v>8.1890410958904116</v>
      </c>
      <c r="M88" t="s">
        <v>92</v>
      </c>
    </row>
    <row r="89" spans="1:13" x14ac:dyDescent="0.3">
      <c r="A89" s="1" t="s">
        <v>203</v>
      </c>
      <c r="B89" s="1" t="s">
        <v>204</v>
      </c>
      <c r="C89" s="1" t="s">
        <v>205</v>
      </c>
      <c r="D89" s="1" t="s">
        <v>19</v>
      </c>
      <c r="E89" s="1" t="s">
        <v>14</v>
      </c>
      <c r="F89">
        <v>80169.42</v>
      </c>
      <c r="G89" t="s">
        <v>95</v>
      </c>
      <c r="H89" s="2">
        <v>44053</v>
      </c>
      <c r="I89">
        <v>1</v>
      </c>
      <c r="J89" s="1" t="s">
        <v>11</v>
      </c>
      <c r="K89" s="1" t="s">
        <v>39</v>
      </c>
      <c r="L89">
        <v>6.0109589041095894</v>
      </c>
      <c r="M89" t="s">
        <v>92</v>
      </c>
    </row>
    <row r="90" spans="1:13" x14ac:dyDescent="0.3">
      <c r="A90" s="1" t="s">
        <v>319</v>
      </c>
      <c r="B90" s="1" t="s">
        <v>320</v>
      </c>
      <c r="C90" s="1" t="s">
        <v>321</v>
      </c>
      <c r="D90" s="1" t="s">
        <v>9</v>
      </c>
      <c r="E90" s="1" t="s">
        <v>54</v>
      </c>
      <c r="F90">
        <v>104038.9</v>
      </c>
      <c r="G90" t="s">
        <v>91</v>
      </c>
      <c r="H90" s="2">
        <v>43815</v>
      </c>
      <c r="I90">
        <v>1</v>
      </c>
      <c r="J90" s="1" t="s">
        <v>103</v>
      </c>
      <c r="K90" s="1" t="s">
        <v>20</v>
      </c>
      <c r="L90">
        <v>6.6630136986301371</v>
      </c>
      <c r="M90" t="s">
        <v>92</v>
      </c>
    </row>
    <row r="91" spans="1:13" x14ac:dyDescent="0.3">
      <c r="A91" s="1" t="s">
        <v>322</v>
      </c>
      <c r="B91" s="1" t="s">
        <v>323</v>
      </c>
      <c r="C91" s="1" t="s">
        <v>324</v>
      </c>
      <c r="D91" s="1" t="s">
        <v>9</v>
      </c>
      <c r="E91" s="1" t="s">
        <v>33</v>
      </c>
      <c r="F91">
        <v>99683.67</v>
      </c>
      <c r="G91" t="s">
        <v>95</v>
      </c>
      <c r="H91" s="2">
        <v>43500</v>
      </c>
      <c r="I91">
        <v>1</v>
      </c>
      <c r="J91" s="1" t="s">
        <v>103</v>
      </c>
      <c r="K91" s="1" t="s">
        <v>37</v>
      </c>
      <c r="L91">
        <v>7.5260273972602736</v>
      </c>
      <c r="M91" t="s">
        <v>92</v>
      </c>
    </row>
    <row r="92" spans="1:13" x14ac:dyDescent="0.3">
      <c r="A92" s="1" t="s">
        <v>325</v>
      </c>
      <c r="B92" s="1" t="s">
        <v>326</v>
      </c>
      <c r="C92" s="1" t="s">
        <v>327</v>
      </c>
      <c r="D92" s="1" t="s">
        <v>19</v>
      </c>
      <c r="E92" s="1" t="s">
        <v>41</v>
      </c>
      <c r="F92">
        <v>47362.62</v>
      </c>
      <c r="G92" t="s">
        <v>124</v>
      </c>
      <c r="H92" s="2">
        <v>43973</v>
      </c>
      <c r="I92">
        <v>1</v>
      </c>
      <c r="J92" s="1" t="s">
        <v>132</v>
      </c>
      <c r="K92" s="1" t="s">
        <v>20</v>
      </c>
      <c r="L92">
        <v>6.2301369863013702</v>
      </c>
      <c r="M92" t="s">
        <v>92</v>
      </c>
    </row>
    <row r="93" spans="1:13" x14ac:dyDescent="0.3">
      <c r="A93" s="1" t="s">
        <v>13</v>
      </c>
      <c r="B93" s="1" t="s">
        <v>328</v>
      </c>
      <c r="C93" s="1" t="s">
        <v>329</v>
      </c>
      <c r="D93" s="1" t="s">
        <v>9</v>
      </c>
      <c r="E93" s="1" t="s">
        <v>14</v>
      </c>
      <c r="F93">
        <v>70649.460000000006</v>
      </c>
      <c r="G93" t="s">
        <v>95</v>
      </c>
      <c r="H93" s="2">
        <v>43843</v>
      </c>
      <c r="I93">
        <v>1</v>
      </c>
      <c r="J93" s="1" t="s">
        <v>11</v>
      </c>
      <c r="K93" s="1" t="s">
        <v>15</v>
      </c>
      <c r="L93">
        <v>6.5863013698630137</v>
      </c>
      <c r="M93" t="s">
        <v>92</v>
      </c>
    </row>
    <row r="94" spans="1:13" x14ac:dyDescent="0.3">
      <c r="A94" s="1" t="s">
        <v>330</v>
      </c>
      <c r="B94" s="1" t="s">
        <v>331</v>
      </c>
      <c r="C94" s="1" t="s">
        <v>332</v>
      </c>
      <c r="D94" s="1" t="s">
        <v>9</v>
      </c>
      <c r="E94" s="1" t="s">
        <v>25</v>
      </c>
      <c r="F94">
        <v>75733.740000000005</v>
      </c>
      <c r="G94" t="s">
        <v>95</v>
      </c>
      <c r="H94" s="2">
        <v>44382</v>
      </c>
      <c r="I94">
        <v>1</v>
      </c>
      <c r="J94" s="1" t="s">
        <v>11</v>
      </c>
      <c r="K94" s="1" t="s">
        <v>15</v>
      </c>
      <c r="L94">
        <v>5.1095890410958908</v>
      </c>
      <c r="M94" t="s">
        <v>92</v>
      </c>
    </row>
    <row r="95" spans="1:13" x14ac:dyDescent="0.3">
      <c r="A95" s="1" t="s">
        <v>333</v>
      </c>
      <c r="B95" s="1" t="s">
        <v>334</v>
      </c>
      <c r="C95" s="1" t="s">
        <v>335</v>
      </c>
      <c r="D95" s="1" t="s">
        <v>9</v>
      </c>
      <c r="E95" s="1" t="s">
        <v>27</v>
      </c>
      <c r="F95">
        <v>71823.56</v>
      </c>
      <c r="G95" t="s">
        <v>95</v>
      </c>
      <c r="H95" s="2">
        <v>43374</v>
      </c>
      <c r="I95">
        <v>0.3</v>
      </c>
      <c r="J95" s="1" t="s">
        <v>132</v>
      </c>
      <c r="K95" s="1" t="s">
        <v>20</v>
      </c>
      <c r="L95">
        <v>7.8712328767123285</v>
      </c>
      <c r="M95" t="s">
        <v>96</v>
      </c>
    </row>
    <row r="96" spans="1:13" x14ac:dyDescent="0.3">
      <c r="A96" s="1" t="s">
        <v>336</v>
      </c>
      <c r="B96" s="1" t="s">
        <v>117</v>
      </c>
      <c r="C96" s="1" t="s">
        <v>337</v>
      </c>
      <c r="D96" s="1" t="s">
        <v>9</v>
      </c>
      <c r="E96" s="1" t="s">
        <v>58</v>
      </c>
      <c r="F96">
        <v>41934.71</v>
      </c>
      <c r="G96" t="s">
        <v>124</v>
      </c>
      <c r="H96" s="2">
        <v>43943</v>
      </c>
      <c r="I96">
        <v>1</v>
      </c>
      <c r="J96" s="1" t="s">
        <v>11</v>
      </c>
      <c r="K96" s="1" t="s">
        <v>20</v>
      </c>
      <c r="L96">
        <v>6.3123287671232875</v>
      </c>
      <c r="M96" t="s">
        <v>92</v>
      </c>
    </row>
    <row r="97" spans="1:13" x14ac:dyDescent="0.3">
      <c r="A97" s="1" t="s">
        <v>71</v>
      </c>
      <c r="B97" s="1" t="s">
        <v>338</v>
      </c>
      <c r="C97" s="1" t="s">
        <v>339</v>
      </c>
      <c r="D97" s="1" t="s">
        <v>19</v>
      </c>
      <c r="E97" s="1" t="s">
        <v>25</v>
      </c>
      <c r="F97">
        <v>66572.58</v>
      </c>
      <c r="G97" t="s">
        <v>95</v>
      </c>
      <c r="H97" s="2">
        <v>44193</v>
      </c>
      <c r="I97">
        <v>1</v>
      </c>
      <c r="J97" s="1" t="s">
        <v>11</v>
      </c>
      <c r="K97" s="1" t="s">
        <v>35</v>
      </c>
      <c r="L97">
        <v>5.6273972602739724</v>
      </c>
      <c r="M97" t="s">
        <v>92</v>
      </c>
    </row>
    <row r="98" spans="1:13" x14ac:dyDescent="0.3">
      <c r="A98" s="1" t="s">
        <v>340</v>
      </c>
      <c r="B98" s="1" t="s">
        <v>341</v>
      </c>
      <c r="C98" s="1" t="s">
        <v>342</v>
      </c>
      <c r="D98" s="1" t="s">
        <v>19</v>
      </c>
      <c r="E98" s="1" t="s">
        <v>22</v>
      </c>
      <c r="F98">
        <v>76932.600000000006</v>
      </c>
      <c r="G98" t="s">
        <v>95</v>
      </c>
      <c r="H98" s="2">
        <v>43493</v>
      </c>
      <c r="I98">
        <v>1</v>
      </c>
      <c r="J98" s="1" t="s">
        <v>11</v>
      </c>
      <c r="K98" s="1" t="s">
        <v>15</v>
      </c>
      <c r="L98">
        <v>7.5452054794520551</v>
      </c>
      <c r="M98" t="s">
        <v>92</v>
      </c>
    </row>
    <row r="99" spans="1:13" x14ac:dyDescent="0.3">
      <c r="A99" s="1" t="s">
        <v>343</v>
      </c>
      <c r="B99" s="1" t="s">
        <v>344</v>
      </c>
      <c r="C99" s="1" t="s">
        <v>345</v>
      </c>
      <c r="D99" s="1" t="s">
        <v>19</v>
      </c>
      <c r="E99" s="1" t="s">
        <v>54</v>
      </c>
      <c r="F99">
        <v>59258.19</v>
      </c>
      <c r="G99" t="s">
        <v>95</v>
      </c>
      <c r="H99" s="2">
        <v>43452</v>
      </c>
      <c r="I99">
        <v>0.8</v>
      </c>
      <c r="J99" s="1" t="s">
        <v>11</v>
      </c>
      <c r="K99" s="1" t="s">
        <v>37</v>
      </c>
      <c r="L99">
        <v>7.6575342465753424</v>
      </c>
      <c r="M99" t="s">
        <v>96</v>
      </c>
    </row>
    <row r="100" spans="1:13" x14ac:dyDescent="0.3">
      <c r="A100" s="1" t="s">
        <v>346</v>
      </c>
      <c r="B100" s="1" t="s">
        <v>347</v>
      </c>
      <c r="C100" s="1" t="s">
        <v>348</v>
      </c>
      <c r="D100" s="1" t="s">
        <v>19</v>
      </c>
      <c r="E100" s="1" t="s">
        <v>10</v>
      </c>
      <c r="F100">
        <v>112778.28</v>
      </c>
      <c r="G100" t="s">
        <v>91</v>
      </c>
      <c r="H100" s="2">
        <v>43250</v>
      </c>
      <c r="I100">
        <v>1</v>
      </c>
      <c r="J100" s="1" t="s">
        <v>103</v>
      </c>
      <c r="K100" s="1" t="s">
        <v>20</v>
      </c>
      <c r="L100">
        <v>8.2109589041095887</v>
      </c>
      <c r="M100" t="s">
        <v>92</v>
      </c>
    </row>
    <row r="101" spans="1:13" x14ac:dyDescent="0.3">
      <c r="A101" s="1" t="s">
        <v>349</v>
      </c>
      <c r="B101" s="1" t="s">
        <v>117</v>
      </c>
      <c r="C101" s="1" t="s">
        <v>350</v>
      </c>
      <c r="D101" s="1" t="s">
        <v>9</v>
      </c>
      <c r="E101" s="1" t="s">
        <v>27</v>
      </c>
      <c r="F101">
        <v>44845.33</v>
      </c>
      <c r="G101" t="s">
        <v>124</v>
      </c>
      <c r="H101" s="2">
        <v>43277</v>
      </c>
      <c r="I101">
        <v>1</v>
      </c>
      <c r="J101" s="1" t="s">
        <v>11</v>
      </c>
      <c r="K101" s="1" t="s">
        <v>37</v>
      </c>
      <c r="L101">
        <v>8.1369863013698627</v>
      </c>
      <c r="M101" t="s">
        <v>92</v>
      </c>
    </row>
    <row r="102" spans="1:13" x14ac:dyDescent="0.3">
      <c r="A102" s="1" t="s">
        <v>51</v>
      </c>
      <c r="B102" s="1" t="s">
        <v>351</v>
      </c>
      <c r="C102" s="1" t="s">
        <v>352</v>
      </c>
      <c r="D102" s="1" t="s">
        <v>19</v>
      </c>
      <c r="E102" s="1" t="s">
        <v>46</v>
      </c>
      <c r="F102">
        <v>115191.38</v>
      </c>
      <c r="G102" t="s">
        <v>91</v>
      </c>
      <c r="H102" s="2">
        <v>44004</v>
      </c>
      <c r="I102">
        <v>1</v>
      </c>
      <c r="J102" s="1" t="s">
        <v>11</v>
      </c>
      <c r="K102" s="1" t="s">
        <v>15</v>
      </c>
      <c r="L102">
        <v>6.1452054794520548</v>
      </c>
      <c r="M102" t="s">
        <v>92</v>
      </c>
    </row>
    <row r="103" spans="1:13" x14ac:dyDescent="0.3">
      <c r="A103" s="1" t="s">
        <v>353</v>
      </c>
      <c r="B103" s="1" t="s">
        <v>354</v>
      </c>
      <c r="C103" s="1" t="s">
        <v>355</v>
      </c>
      <c r="D103" s="1" t="s">
        <v>9</v>
      </c>
      <c r="E103" s="1" t="s">
        <v>25</v>
      </c>
      <c r="F103">
        <v>111049.84</v>
      </c>
      <c r="G103" t="s">
        <v>91</v>
      </c>
      <c r="H103" s="2">
        <v>44393</v>
      </c>
      <c r="I103">
        <v>1</v>
      </c>
      <c r="J103" s="1" t="s">
        <v>11</v>
      </c>
      <c r="K103" s="1" t="s">
        <v>12</v>
      </c>
      <c r="L103">
        <v>5.0794520547945208</v>
      </c>
      <c r="M103" t="s">
        <v>92</v>
      </c>
    </row>
    <row r="104" spans="1:13" x14ac:dyDescent="0.3">
      <c r="A104" s="1" t="s">
        <v>53</v>
      </c>
      <c r="B104" s="1" t="s">
        <v>356</v>
      </c>
      <c r="C104" s="1" t="s">
        <v>357</v>
      </c>
      <c r="D104" s="1" t="s">
        <v>9</v>
      </c>
      <c r="E104" s="1" t="s">
        <v>54</v>
      </c>
      <c r="F104">
        <v>75974.990000000005</v>
      </c>
      <c r="G104" t="s">
        <v>95</v>
      </c>
      <c r="H104" s="2">
        <v>44172</v>
      </c>
      <c r="I104">
        <v>1</v>
      </c>
      <c r="J104" s="1" t="s">
        <v>11</v>
      </c>
      <c r="K104" s="1" t="s">
        <v>20</v>
      </c>
      <c r="L104">
        <v>5.6849315068493151</v>
      </c>
      <c r="M104" t="s">
        <v>92</v>
      </c>
    </row>
    <row r="105" spans="1:13" x14ac:dyDescent="0.3">
      <c r="A105" s="1" t="s">
        <v>358</v>
      </c>
      <c r="B105" s="1" t="s">
        <v>359</v>
      </c>
      <c r="C105" s="1" t="s">
        <v>360</v>
      </c>
      <c r="D105" s="1" t="s">
        <v>9</v>
      </c>
      <c r="E105" s="1" t="s">
        <v>43</v>
      </c>
      <c r="F105">
        <v>42161.77</v>
      </c>
      <c r="G105" t="s">
        <v>124</v>
      </c>
      <c r="H105" s="2">
        <v>43494</v>
      </c>
      <c r="I105">
        <v>1</v>
      </c>
      <c r="J105" s="1" t="s">
        <v>11</v>
      </c>
      <c r="K105" s="1" t="s">
        <v>39</v>
      </c>
      <c r="L105">
        <v>7.5424657534246577</v>
      </c>
      <c r="M105" t="s">
        <v>92</v>
      </c>
    </row>
    <row r="106" spans="1:13" x14ac:dyDescent="0.3">
      <c r="A106" s="1" t="s">
        <v>361</v>
      </c>
      <c r="B106" s="1" t="s">
        <v>362</v>
      </c>
      <c r="C106" s="1" t="s">
        <v>363</v>
      </c>
      <c r="D106" s="1" t="s">
        <v>19</v>
      </c>
      <c r="E106" s="1" t="s">
        <v>14</v>
      </c>
      <c r="F106">
        <v>71371.37</v>
      </c>
      <c r="G106" t="s">
        <v>95</v>
      </c>
      <c r="H106" s="2">
        <v>43392</v>
      </c>
      <c r="I106">
        <v>1</v>
      </c>
      <c r="J106" s="1" t="s">
        <v>11</v>
      </c>
      <c r="K106" s="1" t="s">
        <v>15</v>
      </c>
      <c r="L106">
        <v>7.8219178082191778</v>
      </c>
      <c r="M106" t="s">
        <v>92</v>
      </c>
    </row>
    <row r="107" spans="1:13" x14ac:dyDescent="0.3">
      <c r="A107" s="1" t="s">
        <v>364</v>
      </c>
      <c r="B107" s="1" t="s">
        <v>365</v>
      </c>
      <c r="C107" s="1" t="s">
        <v>366</v>
      </c>
      <c r="D107" s="1" t="s">
        <v>19</v>
      </c>
      <c r="E107" s="1" t="s">
        <v>27</v>
      </c>
      <c r="F107">
        <v>49915.14</v>
      </c>
      <c r="G107" t="s">
        <v>124</v>
      </c>
      <c r="H107" s="2">
        <v>43550</v>
      </c>
      <c r="I107">
        <v>1</v>
      </c>
      <c r="J107" s="1" t="s">
        <v>11</v>
      </c>
      <c r="K107" s="1" t="s">
        <v>20</v>
      </c>
      <c r="L107">
        <v>7.3890410958904109</v>
      </c>
      <c r="M107" t="s">
        <v>92</v>
      </c>
    </row>
    <row r="108" spans="1:13" x14ac:dyDescent="0.3">
      <c r="A108" s="1" t="s">
        <v>367</v>
      </c>
      <c r="B108" s="1" t="s">
        <v>368</v>
      </c>
      <c r="C108" s="1" t="s">
        <v>369</v>
      </c>
      <c r="D108" s="1" t="s">
        <v>19</v>
      </c>
      <c r="E108" s="1" t="s">
        <v>54</v>
      </c>
      <c r="F108">
        <v>37062.1</v>
      </c>
      <c r="G108" t="s">
        <v>124</v>
      </c>
      <c r="H108" s="2">
        <v>44357</v>
      </c>
      <c r="I108">
        <v>1</v>
      </c>
      <c r="J108" s="1" t="s">
        <v>132</v>
      </c>
      <c r="K108" s="1" t="s">
        <v>35</v>
      </c>
      <c r="L108">
        <v>5.1780821917808222</v>
      </c>
      <c r="M108" t="s">
        <v>92</v>
      </c>
    </row>
    <row r="109" spans="1:13" x14ac:dyDescent="0.3">
      <c r="A109" s="1" t="s">
        <v>172</v>
      </c>
      <c r="B109" s="1" t="s">
        <v>173</v>
      </c>
      <c r="C109" s="1" t="s">
        <v>117</v>
      </c>
      <c r="D109" s="1" t="s">
        <v>19</v>
      </c>
      <c r="E109" s="1" t="s">
        <v>14</v>
      </c>
      <c r="F109">
        <v>90884.32</v>
      </c>
      <c r="G109" t="s">
        <v>95</v>
      </c>
      <c r="H109" s="2">
        <v>43826</v>
      </c>
      <c r="I109">
        <v>1</v>
      </c>
      <c r="J109" s="1" t="s">
        <v>11</v>
      </c>
      <c r="K109" s="1" t="s">
        <v>17</v>
      </c>
      <c r="L109">
        <v>6.6328767123287671</v>
      </c>
      <c r="M109" t="s">
        <v>92</v>
      </c>
    </row>
    <row r="110" spans="1:13" x14ac:dyDescent="0.3">
      <c r="A110" s="1" t="s">
        <v>370</v>
      </c>
      <c r="B110" s="1" t="s">
        <v>371</v>
      </c>
      <c r="C110" s="1" t="s">
        <v>372</v>
      </c>
      <c r="D110" s="1" t="s">
        <v>19</v>
      </c>
      <c r="E110" s="1" t="s">
        <v>25</v>
      </c>
      <c r="F110">
        <v>89838.77</v>
      </c>
      <c r="G110" t="s">
        <v>95</v>
      </c>
      <c r="H110" s="2">
        <v>43602</v>
      </c>
      <c r="I110">
        <v>1</v>
      </c>
      <c r="J110" s="1" t="s">
        <v>11</v>
      </c>
      <c r="K110" s="1" t="s">
        <v>20</v>
      </c>
      <c r="L110">
        <v>7.2465753424657535</v>
      </c>
      <c r="M110" t="s">
        <v>92</v>
      </c>
    </row>
    <row r="111" spans="1:13" x14ac:dyDescent="0.3">
      <c r="A111" s="1" t="s">
        <v>373</v>
      </c>
      <c r="B111" s="1" t="s">
        <v>374</v>
      </c>
      <c r="C111" s="1" t="s">
        <v>375</v>
      </c>
      <c r="D111" s="1" t="s">
        <v>9</v>
      </c>
      <c r="E111" s="1" t="s">
        <v>27</v>
      </c>
      <c r="F111">
        <v>68887.839999999997</v>
      </c>
      <c r="G111" t="s">
        <v>95</v>
      </c>
      <c r="H111" s="2">
        <v>43297</v>
      </c>
      <c r="I111">
        <v>1</v>
      </c>
      <c r="J111" s="1" t="s">
        <v>11</v>
      </c>
      <c r="K111" s="1" t="s">
        <v>20</v>
      </c>
      <c r="L111">
        <v>8.0821917808219172</v>
      </c>
      <c r="M111" t="s">
        <v>92</v>
      </c>
    </row>
    <row r="112" spans="1:13" x14ac:dyDescent="0.3">
      <c r="A112" s="1" t="s">
        <v>289</v>
      </c>
      <c r="B112" s="1" t="s">
        <v>376</v>
      </c>
      <c r="C112" s="1" t="s">
        <v>377</v>
      </c>
      <c r="D112" s="1" t="s">
        <v>19</v>
      </c>
      <c r="E112" s="1" t="s">
        <v>46</v>
      </c>
      <c r="F112">
        <v>106775.14</v>
      </c>
      <c r="G112" t="s">
        <v>91</v>
      </c>
      <c r="H112" s="2">
        <v>43563</v>
      </c>
      <c r="I112">
        <v>1</v>
      </c>
      <c r="J112" s="1" t="s">
        <v>103</v>
      </c>
      <c r="K112" s="1" t="s">
        <v>15</v>
      </c>
      <c r="L112">
        <v>7.353424657534247</v>
      </c>
      <c r="M112" t="s">
        <v>92</v>
      </c>
    </row>
    <row r="113" spans="1:13" x14ac:dyDescent="0.3">
      <c r="A113" s="1" t="s">
        <v>378</v>
      </c>
      <c r="B113" s="1" t="s">
        <v>379</v>
      </c>
      <c r="C113" s="1" t="s">
        <v>380</v>
      </c>
      <c r="D113" s="1" t="s">
        <v>9</v>
      </c>
      <c r="E113" s="1" t="s">
        <v>43</v>
      </c>
      <c r="F113">
        <v>89690.38</v>
      </c>
      <c r="G113" t="s">
        <v>95</v>
      </c>
      <c r="H113" s="2">
        <v>43213</v>
      </c>
      <c r="I113">
        <v>1</v>
      </c>
      <c r="J113" s="1" t="s">
        <v>11</v>
      </c>
      <c r="K113" s="1" t="s">
        <v>15</v>
      </c>
      <c r="L113">
        <v>8.3123287671232884</v>
      </c>
      <c r="M113" t="s">
        <v>92</v>
      </c>
    </row>
    <row r="114" spans="1:13" x14ac:dyDescent="0.3">
      <c r="A114" s="1" t="s">
        <v>381</v>
      </c>
      <c r="B114" s="1" t="s">
        <v>382</v>
      </c>
      <c r="C114" s="1" t="s">
        <v>383</v>
      </c>
      <c r="D114" s="1" t="s">
        <v>19</v>
      </c>
      <c r="E114" s="1" t="s">
        <v>46</v>
      </c>
      <c r="F114">
        <v>111229.47</v>
      </c>
      <c r="G114" t="s">
        <v>91</v>
      </c>
      <c r="H114" s="2">
        <v>43402</v>
      </c>
      <c r="I114">
        <v>1</v>
      </c>
      <c r="J114" s="1" t="s">
        <v>11</v>
      </c>
      <c r="K114" s="1" t="s">
        <v>20</v>
      </c>
      <c r="L114">
        <v>7.7945205479452051</v>
      </c>
      <c r="M114" t="s">
        <v>92</v>
      </c>
    </row>
    <row r="115" spans="1:13" x14ac:dyDescent="0.3">
      <c r="A115" s="1" t="s">
        <v>384</v>
      </c>
      <c r="B115" s="1" t="s">
        <v>385</v>
      </c>
      <c r="C115" s="1" t="s">
        <v>386</v>
      </c>
      <c r="D115" s="1" t="s">
        <v>19</v>
      </c>
      <c r="E115" s="1" t="s">
        <v>27</v>
      </c>
      <c r="F115">
        <v>67633.850000000006</v>
      </c>
      <c r="G115" t="s">
        <v>95</v>
      </c>
      <c r="H115" s="2">
        <v>43340</v>
      </c>
      <c r="I115">
        <v>1</v>
      </c>
      <c r="J115" s="1" t="s">
        <v>11</v>
      </c>
      <c r="K115" s="1" t="s">
        <v>17</v>
      </c>
      <c r="L115">
        <v>7.9643835616438352</v>
      </c>
      <c r="M115" t="s">
        <v>92</v>
      </c>
    </row>
    <row r="116" spans="1:13" x14ac:dyDescent="0.3">
      <c r="A116" s="1" t="s">
        <v>387</v>
      </c>
      <c r="B116" s="1" t="s">
        <v>388</v>
      </c>
      <c r="C116" s="1" t="s">
        <v>389</v>
      </c>
      <c r="D116" s="1" t="s">
        <v>19</v>
      </c>
      <c r="E116" s="1" t="s">
        <v>43</v>
      </c>
      <c r="F116">
        <v>111815.49</v>
      </c>
      <c r="G116" t="s">
        <v>91</v>
      </c>
      <c r="H116" s="2">
        <v>43895</v>
      </c>
      <c r="I116">
        <v>0.7</v>
      </c>
      <c r="J116" s="1" t="s">
        <v>132</v>
      </c>
      <c r="K116" s="1" t="s">
        <v>20</v>
      </c>
      <c r="L116">
        <v>6.4438356164383563</v>
      </c>
      <c r="M116" t="s">
        <v>96</v>
      </c>
    </row>
    <row r="117" spans="1:13" x14ac:dyDescent="0.3">
      <c r="A117" s="1" t="s">
        <v>390</v>
      </c>
      <c r="B117" s="1" t="s">
        <v>391</v>
      </c>
      <c r="C117" s="1" t="s">
        <v>392</v>
      </c>
      <c r="D117" s="1" t="s">
        <v>19</v>
      </c>
      <c r="E117" s="1" t="s">
        <v>14</v>
      </c>
      <c r="F117">
        <v>39784.239999999998</v>
      </c>
      <c r="G117" t="s">
        <v>124</v>
      </c>
      <c r="H117" s="2">
        <v>43465</v>
      </c>
      <c r="I117">
        <v>1</v>
      </c>
      <c r="J117" s="1" t="s">
        <v>103</v>
      </c>
      <c r="K117" s="1" t="s">
        <v>35</v>
      </c>
      <c r="L117">
        <v>7.6219178082191785</v>
      </c>
      <c r="M117" t="s">
        <v>92</v>
      </c>
    </row>
    <row r="118" spans="1:13" x14ac:dyDescent="0.3">
      <c r="A118" s="1" t="s">
        <v>393</v>
      </c>
      <c r="B118" s="1" t="s">
        <v>394</v>
      </c>
      <c r="C118" s="1" t="s">
        <v>395</v>
      </c>
      <c r="D118" s="1" t="s">
        <v>9</v>
      </c>
      <c r="E118" s="1" t="s">
        <v>46</v>
      </c>
      <c r="F118">
        <v>89829.33</v>
      </c>
      <c r="G118" t="s">
        <v>95</v>
      </c>
      <c r="H118" s="2">
        <v>43794</v>
      </c>
      <c r="I118">
        <v>1</v>
      </c>
      <c r="J118" s="1" t="s">
        <v>132</v>
      </c>
      <c r="K118" s="1" t="s">
        <v>35</v>
      </c>
      <c r="L118">
        <v>6.720547945205479</v>
      </c>
      <c r="M118" t="s">
        <v>92</v>
      </c>
    </row>
    <row r="119" spans="1:13" x14ac:dyDescent="0.3">
      <c r="A119" s="1" t="s">
        <v>387</v>
      </c>
      <c r="B119" s="1" t="s">
        <v>388</v>
      </c>
      <c r="C119" s="1" t="s">
        <v>389</v>
      </c>
      <c r="D119" s="1" t="s">
        <v>19</v>
      </c>
      <c r="E119" s="1" t="s">
        <v>43</v>
      </c>
      <c r="F119">
        <v>111815.49</v>
      </c>
      <c r="G119" t="s">
        <v>91</v>
      </c>
      <c r="H119" s="2">
        <v>43895</v>
      </c>
      <c r="I119">
        <v>0.7</v>
      </c>
      <c r="J119" s="1" t="s">
        <v>132</v>
      </c>
      <c r="K119" s="1" t="s">
        <v>20</v>
      </c>
      <c r="L119">
        <v>6.4438356164383563</v>
      </c>
      <c r="M119" t="s">
        <v>96</v>
      </c>
    </row>
    <row r="120" spans="1:13" x14ac:dyDescent="0.3">
      <c r="A120" s="1" t="s">
        <v>396</v>
      </c>
      <c r="B120" s="1" t="s">
        <v>397</v>
      </c>
      <c r="C120" s="1" t="s">
        <v>398</v>
      </c>
      <c r="D120" s="1" t="s">
        <v>19</v>
      </c>
      <c r="E120" s="1" t="s">
        <v>25</v>
      </c>
      <c r="F120">
        <v>72843.23</v>
      </c>
      <c r="G120" t="s">
        <v>95</v>
      </c>
      <c r="H120" s="2">
        <v>43280</v>
      </c>
      <c r="I120">
        <v>1</v>
      </c>
      <c r="J120" s="1" t="s">
        <v>103</v>
      </c>
      <c r="K120" s="1" t="s">
        <v>12</v>
      </c>
      <c r="L120">
        <v>8.1287671232876715</v>
      </c>
      <c r="M120" t="s">
        <v>92</v>
      </c>
    </row>
    <row r="121" spans="1:13" x14ac:dyDescent="0.3">
      <c r="A121" s="1" t="s">
        <v>333</v>
      </c>
      <c r="B121" s="1" t="s">
        <v>334</v>
      </c>
      <c r="C121" s="1" t="s">
        <v>335</v>
      </c>
      <c r="D121" s="1" t="s">
        <v>9</v>
      </c>
      <c r="E121" s="1" t="s">
        <v>27</v>
      </c>
      <c r="F121">
        <v>71823.56</v>
      </c>
      <c r="G121" t="s">
        <v>95</v>
      </c>
      <c r="H121" s="2">
        <v>43374</v>
      </c>
      <c r="I121">
        <v>0.3</v>
      </c>
      <c r="J121" s="1" t="s">
        <v>132</v>
      </c>
      <c r="K121" s="1" t="s">
        <v>20</v>
      </c>
      <c r="L121">
        <v>7.8712328767123285</v>
      </c>
      <c r="M121" t="s">
        <v>96</v>
      </c>
    </row>
    <row r="122" spans="1:13" x14ac:dyDescent="0.3">
      <c r="A122" s="1" t="s">
        <v>399</v>
      </c>
      <c r="B122" s="1" t="s">
        <v>400</v>
      </c>
      <c r="C122" s="1" t="s">
        <v>401</v>
      </c>
      <c r="D122" s="1" t="s">
        <v>19</v>
      </c>
      <c r="E122" s="1" t="s">
        <v>14</v>
      </c>
      <c r="F122">
        <v>88511.17</v>
      </c>
      <c r="G122" t="s">
        <v>95</v>
      </c>
      <c r="H122" s="2">
        <v>43950</v>
      </c>
      <c r="I122">
        <v>1</v>
      </c>
      <c r="J122" s="1" t="s">
        <v>11</v>
      </c>
      <c r="K122" s="1" t="s">
        <v>17</v>
      </c>
      <c r="L122">
        <v>6.2931506849315069</v>
      </c>
      <c r="M122" t="s">
        <v>92</v>
      </c>
    </row>
    <row r="123" spans="1:13" x14ac:dyDescent="0.3">
      <c r="A123" s="1" t="s">
        <v>50</v>
      </c>
      <c r="B123" s="1" t="s">
        <v>117</v>
      </c>
      <c r="C123" s="1" t="s">
        <v>402</v>
      </c>
      <c r="D123" s="1" t="s">
        <v>19</v>
      </c>
      <c r="E123" s="1" t="s">
        <v>27</v>
      </c>
      <c r="F123">
        <v>36547.58</v>
      </c>
      <c r="G123" t="s">
        <v>124</v>
      </c>
      <c r="H123" s="2">
        <v>43416</v>
      </c>
      <c r="I123">
        <v>1</v>
      </c>
      <c r="J123" s="1" t="s">
        <v>11</v>
      </c>
      <c r="K123" s="1" t="s">
        <v>20</v>
      </c>
      <c r="L123">
        <v>7.7561643835616438</v>
      </c>
      <c r="M123" t="s">
        <v>92</v>
      </c>
    </row>
    <row r="124" spans="1:13" x14ac:dyDescent="0.3">
      <c r="A124" s="1" t="s">
        <v>55</v>
      </c>
      <c r="B124" s="1" t="s">
        <v>403</v>
      </c>
      <c r="C124" s="1" t="s">
        <v>404</v>
      </c>
      <c r="D124" s="1" t="s">
        <v>19</v>
      </c>
      <c r="E124" s="1" t="s">
        <v>27</v>
      </c>
      <c r="F124">
        <v>95954.02</v>
      </c>
      <c r="G124" t="s">
        <v>95</v>
      </c>
      <c r="H124" s="2">
        <v>43567</v>
      </c>
      <c r="I124">
        <v>0.3</v>
      </c>
      <c r="J124" s="1" t="s">
        <v>11</v>
      </c>
      <c r="K124" s="1" t="s">
        <v>15</v>
      </c>
      <c r="L124">
        <v>7.3424657534246576</v>
      </c>
      <c r="M124" t="s">
        <v>96</v>
      </c>
    </row>
    <row r="125" spans="1:13" x14ac:dyDescent="0.3">
      <c r="A125" s="1" t="s">
        <v>405</v>
      </c>
      <c r="B125" s="1" t="s">
        <v>406</v>
      </c>
      <c r="C125" s="1" t="s">
        <v>407</v>
      </c>
      <c r="D125" s="1" t="s">
        <v>9</v>
      </c>
      <c r="E125" s="1" t="s">
        <v>10</v>
      </c>
      <c r="F125">
        <v>95677.9</v>
      </c>
      <c r="G125" t="s">
        <v>95</v>
      </c>
      <c r="H125" s="2">
        <v>44396</v>
      </c>
      <c r="I125">
        <v>0.3</v>
      </c>
      <c r="J125" s="1" t="s">
        <v>11</v>
      </c>
      <c r="K125" s="1" t="s">
        <v>35</v>
      </c>
      <c r="L125">
        <v>5.0712328767123287</v>
      </c>
      <c r="M125" t="s">
        <v>96</v>
      </c>
    </row>
    <row r="126" spans="1:13" x14ac:dyDescent="0.3">
      <c r="A126" s="1" t="s">
        <v>408</v>
      </c>
      <c r="B126" s="1" t="s">
        <v>409</v>
      </c>
      <c r="C126" s="1" t="s">
        <v>410</v>
      </c>
      <c r="D126" s="1" t="s">
        <v>9</v>
      </c>
      <c r="E126" s="1" t="s">
        <v>27</v>
      </c>
      <c r="F126">
        <v>76303.820000000007</v>
      </c>
      <c r="G126" t="s">
        <v>95</v>
      </c>
      <c r="H126" s="2">
        <v>43458</v>
      </c>
      <c r="I126">
        <v>1</v>
      </c>
      <c r="J126" s="1" t="s">
        <v>103</v>
      </c>
      <c r="K126" s="1" t="s">
        <v>15</v>
      </c>
      <c r="L126">
        <v>7.6410958904109592</v>
      </c>
      <c r="M126" t="s">
        <v>92</v>
      </c>
    </row>
    <row r="127" spans="1:13" x14ac:dyDescent="0.3">
      <c r="A127" s="1" t="s">
        <v>411</v>
      </c>
      <c r="B127" s="1" t="s">
        <v>412</v>
      </c>
      <c r="C127" s="1" t="s">
        <v>413</v>
      </c>
      <c r="D127" s="1" t="s">
        <v>19</v>
      </c>
      <c r="E127" s="1" t="s">
        <v>25</v>
      </c>
      <c r="F127">
        <v>99460.78</v>
      </c>
      <c r="G127" t="s">
        <v>95</v>
      </c>
      <c r="H127" s="2">
        <v>43956</v>
      </c>
      <c r="I127">
        <v>1</v>
      </c>
      <c r="J127" s="1" t="s">
        <v>11</v>
      </c>
      <c r="K127" s="1" t="s">
        <v>20</v>
      </c>
      <c r="L127">
        <v>6.2767123287671236</v>
      </c>
      <c r="M127" t="s">
        <v>92</v>
      </c>
    </row>
    <row r="128" spans="1:13" x14ac:dyDescent="0.3">
      <c r="A128" s="1" t="s">
        <v>414</v>
      </c>
      <c r="B128" s="1" t="s">
        <v>415</v>
      </c>
      <c r="C128" s="1" t="s">
        <v>416</v>
      </c>
      <c r="D128" s="1" t="s">
        <v>9</v>
      </c>
      <c r="E128" s="1" t="s">
        <v>54</v>
      </c>
      <c r="F128">
        <v>88034.67</v>
      </c>
      <c r="G128" t="s">
        <v>95</v>
      </c>
      <c r="H128" s="2">
        <v>43669</v>
      </c>
      <c r="I128">
        <v>1</v>
      </c>
      <c r="J128" s="1" t="s">
        <v>11</v>
      </c>
      <c r="K128" s="1" t="s">
        <v>20</v>
      </c>
      <c r="L128">
        <v>7.0630136986301366</v>
      </c>
      <c r="M128" t="s">
        <v>92</v>
      </c>
    </row>
    <row r="129" spans="1:13" x14ac:dyDescent="0.3">
      <c r="A129" s="1" t="s">
        <v>417</v>
      </c>
      <c r="B129" s="1" t="s">
        <v>418</v>
      </c>
      <c r="C129" s="1" t="s">
        <v>419</v>
      </c>
      <c r="D129" s="1" t="s">
        <v>9</v>
      </c>
      <c r="E129" s="1" t="s">
        <v>33</v>
      </c>
      <c r="F129">
        <v>44447.26</v>
      </c>
      <c r="G129" t="s">
        <v>124</v>
      </c>
      <c r="H129" s="2">
        <v>43846</v>
      </c>
      <c r="I129">
        <v>0.4</v>
      </c>
      <c r="J129" s="1" t="s">
        <v>11</v>
      </c>
      <c r="K129" s="1" t="s">
        <v>37</v>
      </c>
      <c r="L129">
        <v>6.5780821917808217</v>
      </c>
      <c r="M129" t="s">
        <v>96</v>
      </c>
    </row>
    <row r="130" spans="1:13" x14ac:dyDescent="0.3">
      <c r="A130" s="1" t="s">
        <v>420</v>
      </c>
      <c r="B130" s="1" t="s">
        <v>421</v>
      </c>
      <c r="C130" s="1" t="s">
        <v>422</v>
      </c>
      <c r="D130" s="1" t="s">
        <v>19</v>
      </c>
      <c r="E130" s="1" t="s">
        <v>46</v>
      </c>
      <c r="F130">
        <v>40445.29</v>
      </c>
      <c r="G130" t="s">
        <v>124</v>
      </c>
      <c r="H130" s="2">
        <v>44393</v>
      </c>
      <c r="I130">
        <v>1</v>
      </c>
      <c r="J130" s="1" t="s">
        <v>11</v>
      </c>
      <c r="K130" s="1" t="s">
        <v>35</v>
      </c>
      <c r="L130">
        <v>5.0794520547945208</v>
      </c>
      <c r="M130" t="s">
        <v>92</v>
      </c>
    </row>
    <row r="131" spans="1:13" x14ac:dyDescent="0.3">
      <c r="A131" s="1" t="s">
        <v>77</v>
      </c>
      <c r="B131" s="1" t="s">
        <v>423</v>
      </c>
      <c r="C131" s="1" t="s">
        <v>424</v>
      </c>
      <c r="D131" s="1" t="s">
        <v>9</v>
      </c>
      <c r="E131" s="1" t="s">
        <v>33</v>
      </c>
      <c r="F131">
        <v>92336.08</v>
      </c>
      <c r="G131" t="s">
        <v>95</v>
      </c>
      <c r="H131" s="2">
        <v>44431</v>
      </c>
      <c r="I131">
        <v>1</v>
      </c>
      <c r="J131" s="1" t="s">
        <v>11</v>
      </c>
      <c r="K131" s="1" t="s">
        <v>15</v>
      </c>
      <c r="L131">
        <v>4.9753424657534246</v>
      </c>
      <c r="M131" t="s">
        <v>92</v>
      </c>
    </row>
    <row r="132" spans="1:13" x14ac:dyDescent="0.3">
      <c r="A132" s="1" t="s">
        <v>425</v>
      </c>
      <c r="B132" s="1" t="s">
        <v>426</v>
      </c>
      <c r="C132" s="1" t="s">
        <v>427</v>
      </c>
      <c r="D132" s="1" t="s">
        <v>9</v>
      </c>
      <c r="E132" s="1" t="s">
        <v>22</v>
      </c>
      <c r="F132">
        <v>68008.55</v>
      </c>
      <c r="G132" t="s">
        <v>95</v>
      </c>
      <c r="H132" s="2">
        <v>44062</v>
      </c>
      <c r="I132">
        <v>1</v>
      </c>
      <c r="J132" s="1" t="s">
        <v>11</v>
      </c>
      <c r="K132" s="1" t="s">
        <v>39</v>
      </c>
      <c r="L132">
        <v>5.9863013698630141</v>
      </c>
      <c r="M132" t="s">
        <v>92</v>
      </c>
    </row>
    <row r="133" spans="1:13" x14ac:dyDescent="0.3">
      <c r="A133" s="1" t="s">
        <v>428</v>
      </c>
      <c r="B133" s="1" t="s">
        <v>429</v>
      </c>
      <c r="C133" s="1" t="s">
        <v>430</v>
      </c>
      <c r="D133" s="1" t="s">
        <v>19</v>
      </c>
      <c r="E133" s="1" t="s">
        <v>46</v>
      </c>
      <c r="F133">
        <v>74924.649999999994</v>
      </c>
      <c r="G133" t="s">
        <v>95</v>
      </c>
      <c r="H133" s="2">
        <v>44239</v>
      </c>
      <c r="I133">
        <v>1</v>
      </c>
      <c r="J133" s="1" t="s">
        <v>11</v>
      </c>
      <c r="K133" s="1" t="s">
        <v>15</v>
      </c>
      <c r="L133">
        <v>5.5013698630136982</v>
      </c>
      <c r="M133" t="s">
        <v>92</v>
      </c>
    </row>
    <row r="134" spans="1:13" x14ac:dyDescent="0.3">
      <c r="A134" s="1" t="s">
        <v>431</v>
      </c>
      <c r="B134" s="1" t="s">
        <v>117</v>
      </c>
      <c r="C134" s="1" t="s">
        <v>432</v>
      </c>
      <c r="D134" s="1" t="s">
        <v>19</v>
      </c>
      <c r="E134" s="1" t="s">
        <v>43</v>
      </c>
      <c r="F134">
        <v>88689.09</v>
      </c>
      <c r="G134" t="s">
        <v>95</v>
      </c>
      <c r="H134" s="2">
        <v>43740</v>
      </c>
      <c r="I134">
        <v>1</v>
      </c>
      <c r="J134" s="1" t="s">
        <v>11</v>
      </c>
      <c r="K134" s="1" t="s">
        <v>37</v>
      </c>
      <c r="L134">
        <v>6.8684931506849312</v>
      </c>
      <c r="M134" t="s">
        <v>92</v>
      </c>
    </row>
    <row r="135" spans="1:13" x14ac:dyDescent="0.3">
      <c r="A135" s="1" t="s">
        <v>433</v>
      </c>
      <c r="B135" s="1" t="s">
        <v>434</v>
      </c>
      <c r="C135" s="1" t="s">
        <v>435</v>
      </c>
      <c r="D135" s="1" t="s">
        <v>9</v>
      </c>
      <c r="E135" s="1" t="s">
        <v>33</v>
      </c>
      <c r="F135">
        <v>96555.53</v>
      </c>
      <c r="G135" t="s">
        <v>95</v>
      </c>
      <c r="H135" s="2">
        <v>43489</v>
      </c>
      <c r="I135">
        <v>0.2</v>
      </c>
      <c r="J135" s="1" t="s">
        <v>132</v>
      </c>
      <c r="K135" s="1" t="s">
        <v>15</v>
      </c>
      <c r="L135">
        <v>7.5561643835616437</v>
      </c>
      <c r="M135" t="s">
        <v>96</v>
      </c>
    </row>
    <row r="136" spans="1:13" x14ac:dyDescent="0.3">
      <c r="A136" s="1" t="s">
        <v>436</v>
      </c>
      <c r="B136" s="1" t="s">
        <v>437</v>
      </c>
      <c r="C136" s="1" t="s">
        <v>438</v>
      </c>
      <c r="D136" s="1" t="s">
        <v>9</v>
      </c>
      <c r="E136" s="1" t="s">
        <v>54</v>
      </c>
      <c r="F136">
        <v>71924.850000000006</v>
      </c>
      <c r="G136" t="s">
        <v>95</v>
      </c>
      <c r="H136" s="2">
        <v>43822</v>
      </c>
      <c r="I136">
        <v>1</v>
      </c>
      <c r="J136" s="1" t="s">
        <v>11</v>
      </c>
      <c r="K136" s="1" t="s">
        <v>35</v>
      </c>
      <c r="L136">
        <v>6.6438356164383565</v>
      </c>
      <c r="M136" t="s">
        <v>92</v>
      </c>
    </row>
    <row r="137" spans="1:13" x14ac:dyDescent="0.3">
      <c r="A137" s="1" t="s">
        <v>439</v>
      </c>
      <c r="B137" s="1" t="s">
        <v>440</v>
      </c>
      <c r="C137" s="1" t="s">
        <v>441</v>
      </c>
      <c r="D137" s="1" t="s">
        <v>19</v>
      </c>
      <c r="E137" s="1" t="s">
        <v>46</v>
      </c>
      <c r="F137">
        <v>31241.24</v>
      </c>
      <c r="G137" t="s">
        <v>124</v>
      </c>
      <c r="H137" s="2">
        <v>43725</v>
      </c>
      <c r="I137">
        <v>1</v>
      </c>
      <c r="J137" s="1" t="s">
        <v>11</v>
      </c>
      <c r="K137" s="1" t="s">
        <v>20</v>
      </c>
      <c r="L137">
        <v>6.9095890410958907</v>
      </c>
      <c r="M137" t="s">
        <v>92</v>
      </c>
    </row>
    <row r="138" spans="1:13" x14ac:dyDescent="0.3">
      <c r="A138" s="1" t="s">
        <v>82</v>
      </c>
      <c r="B138" s="1" t="s">
        <v>442</v>
      </c>
      <c r="C138" s="1" t="s">
        <v>443</v>
      </c>
      <c r="D138" s="1" t="s">
        <v>19</v>
      </c>
      <c r="E138" s="1" t="s">
        <v>14</v>
      </c>
      <c r="F138">
        <v>110042.37</v>
      </c>
      <c r="G138" t="s">
        <v>91</v>
      </c>
      <c r="H138" s="2">
        <v>43914</v>
      </c>
      <c r="I138">
        <v>1</v>
      </c>
      <c r="J138" s="1" t="s">
        <v>11</v>
      </c>
      <c r="K138" s="1" t="s">
        <v>17</v>
      </c>
      <c r="L138">
        <v>6.3917808219178083</v>
      </c>
      <c r="M138" t="s">
        <v>92</v>
      </c>
    </row>
    <row r="139" spans="1:13" x14ac:dyDescent="0.3">
      <c r="A139" s="1" t="s">
        <v>136</v>
      </c>
      <c r="B139" s="1" t="s">
        <v>444</v>
      </c>
      <c r="C139" s="1" t="s">
        <v>445</v>
      </c>
      <c r="D139" s="1" t="s">
        <v>9</v>
      </c>
      <c r="E139" s="1" t="s">
        <v>10</v>
      </c>
      <c r="F139">
        <v>37902.35</v>
      </c>
      <c r="G139" t="s">
        <v>124</v>
      </c>
      <c r="H139" s="2">
        <v>43823</v>
      </c>
      <c r="I139">
        <v>1</v>
      </c>
      <c r="J139" s="1" t="s">
        <v>11</v>
      </c>
      <c r="K139" s="1" t="s">
        <v>35</v>
      </c>
      <c r="L139">
        <v>6.6410958904109592</v>
      </c>
      <c r="M139" t="s">
        <v>92</v>
      </c>
    </row>
    <row r="140" spans="1:13" x14ac:dyDescent="0.3">
      <c r="A140" s="1" t="s">
        <v>446</v>
      </c>
      <c r="B140" s="1" t="s">
        <v>447</v>
      </c>
      <c r="C140" s="1" t="s">
        <v>448</v>
      </c>
      <c r="D140" s="1" t="s">
        <v>9</v>
      </c>
      <c r="E140" s="1" t="s">
        <v>14</v>
      </c>
      <c r="F140">
        <v>33031.26</v>
      </c>
      <c r="G140" t="s">
        <v>124</v>
      </c>
      <c r="H140" s="2">
        <v>43468</v>
      </c>
      <c r="I140">
        <v>0.4</v>
      </c>
      <c r="J140" s="1" t="s">
        <v>11</v>
      </c>
      <c r="K140" s="1" t="s">
        <v>15</v>
      </c>
      <c r="L140">
        <v>7.6136986301369864</v>
      </c>
      <c r="M140" t="s">
        <v>96</v>
      </c>
    </row>
    <row r="141" spans="1:13" x14ac:dyDescent="0.3">
      <c r="A141" s="1" t="s">
        <v>449</v>
      </c>
      <c r="B141" s="1" t="s">
        <v>450</v>
      </c>
      <c r="C141" s="1" t="s">
        <v>451</v>
      </c>
      <c r="D141" s="1" t="s">
        <v>9</v>
      </c>
      <c r="E141" s="1" t="s">
        <v>25</v>
      </c>
      <c r="F141">
        <v>32496.880000000001</v>
      </c>
      <c r="G141" t="s">
        <v>124</v>
      </c>
      <c r="H141" s="2">
        <v>43234</v>
      </c>
      <c r="I141">
        <v>1</v>
      </c>
      <c r="J141" s="1" t="s">
        <v>132</v>
      </c>
      <c r="K141" s="1" t="s">
        <v>20</v>
      </c>
      <c r="L141">
        <v>8.2547945205479447</v>
      </c>
      <c r="M141" t="s">
        <v>92</v>
      </c>
    </row>
    <row r="142" spans="1:13" x14ac:dyDescent="0.3">
      <c r="A142" s="1" t="s">
        <v>60</v>
      </c>
      <c r="B142" s="1" t="s">
        <v>452</v>
      </c>
      <c r="C142" s="1" t="s">
        <v>117</v>
      </c>
      <c r="D142" s="1" t="s">
        <v>9</v>
      </c>
      <c r="E142" s="1" t="s">
        <v>43</v>
      </c>
      <c r="F142">
        <v>81897.789999999994</v>
      </c>
      <c r="G142" t="s">
        <v>95</v>
      </c>
      <c r="H142" s="2">
        <v>43146</v>
      </c>
      <c r="I142">
        <v>1</v>
      </c>
      <c r="J142" s="1" t="s">
        <v>11</v>
      </c>
      <c r="K142" s="1" t="s">
        <v>39</v>
      </c>
      <c r="L142">
        <v>8.4958904109589035</v>
      </c>
      <c r="M142" t="s">
        <v>92</v>
      </c>
    </row>
    <row r="143" spans="1:13" x14ac:dyDescent="0.3">
      <c r="A143" s="1" t="s">
        <v>453</v>
      </c>
      <c r="B143" s="1" t="s">
        <v>454</v>
      </c>
      <c r="C143" s="1" t="s">
        <v>455</v>
      </c>
      <c r="D143" s="1" t="s">
        <v>19</v>
      </c>
      <c r="E143" s="1" t="s">
        <v>41</v>
      </c>
      <c r="F143">
        <v>108872.77</v>
      </c>
      <c r="G143" t="s">
        <v>91</v>
      </c>
      <c r="H143" s="2">
        <v>43521</v>
      </c>
      <c r="I143">
        <v>1</v>
      </c>
      <c r="J143" s="1" t="s">
        <v>11</v>
      </c>
      <c r="K143" s="1" t="s">
        <v>20</v>
      </c>
      <c r="L143">
        <v>7.4684931506849317</v>
      </c>
      <c r="M143" t="s">
        <v>92</v>
      </c>
    </row>
    <row r="144" spans="1:13" x14ac:dyDescent="0.3">
      <c r="A144" s="1" t="s">
        <v>456</v>
      </c>
      <c r="B144" s="1" t="s">
        <v>457</v>
      </c>
      <c r="C144" s="1" t="s">
        <v>458</v>
      </c>
      <c r="D144" s="1" t="s">
        <v>19</v>
      </c>
      <c r="E144" s="1" t="s">
        <v>22</v>
      </c>
      <c r="F144">
        <v>89605.13</v>
      </c>
      <c r="G144" t="s">
        <v>95</v>
      </c>
      <c r="H144" s="2">
        <v>43258</v>
      </c>
      <c r="I144">
        <v>1</v>
      </c>
      <c r="J144" s="1" t="s">
        <v>11</v>
      </c>
      <c r="K144" s="1" t="s">
        <v>37</v>
      </c>
      <c r="L144">
        <v>8.1890410958904116</v>
      </c>
      <c r="M144" t="s">
        <v>92</v>
      </c>
    </row>
    <row r="145" spans="1:13" x14ac:dyDescent="0.3">
      <c r="A145" s="1" t="s">
        <v>459</v>
      </c>
      <c r="B145" s="1" t="s">
        <v>460</v>
      </c>
      <c r="C145" s="1" t="s">
        <v>461</v>
      </c>
      <c r="D145" s="1" t="s">
        <v>112</v>
      </c>
      <c r="E145" s="1" t="s">
        <v>25</v>
      </c>
      <c r="F145">
        <v>63447.07</v>
      </c>
      <c r="G145" t="s">
        <v>95</v>
      </c>
      <c r="H145" s="2">
        <v>44148</v>
      </c>
      <c r="I145">
        <v>1</v>
      </c>
      <c r="J145" s="1" t="s">
        <v>132</v>
      </c>
      <c r="K145" s="1" t="s">
        <v>12</v>
      </c>
      <c r="L145">
        <v>5.7506849315068491</v>
      </c>
      <c r="M145" t="s">
        <v>92</v>
      </c>
    </row>
    <row r="146" spans="1:13" x14ac:dyDescent="0.3">
      <c r="A146" s="1" t="s">
        <v>462</v>
      </c>
      <c r="B146" s="1" t="s">
        <v>463</v>
      </c>
      <c r="C146" s="1" t="s">
        <v>464</v>
      </c>
      <c r="D146" s="1" t="s">
        <v>9</v>
      </c>
      <c r="E146" s="1" t="s">
        <v>46</v>
      </c>
      <c r="F146">
        <v>106665.67</v>
      </c>
      <c r="G146" t="s">
        <v>91</v>
      </c>
      <c r="H146" s="2">
        <v>43311</v>
      </c>
      <c r="I146">
        <v>1</v>
      </c>
      <c r="J146" s="1" t="s">
        <v>132</v>
      </c>
      <c r="K146" s="1" t="s">
        <v>17</v>
      </c>
      <c r="L146">
        <v>8.043835616438356</v>
      </c>
      <c r="M146" t="s">
        <v>92</v>
      </c>
    </row>
    <row r="147" spans="1:13" x14ac:dyDescent="0.3">
      <c r="A147" s="1" t="s">
        <v>465</v>
      </c>
      <c r="B147" s="1" t="s">
        <v>466</v>
      </c>
      <c r="C147" s="1" t="s">
        <v>467</v>
      </c>
      <c r="D147" s="1" t="s">
        <v>19</v>
      </c>
      <c r="E147" s="1" t="s">
        <v>43</v>
      </c>
      <c r="F147">
        <v>100424.23</v>
      </c>
      <c r="G147" t="s">
        <v>91</v>
      </c>
      <c r="H147" s="2">
        <v>43801</v>
      </c>
      <c r="I147">
        <v>1</v>
      </c>
      <c r="J147" s="1" t="s">
        <v>11</v>
      </c>
      <c r="K147" s="1" t="s">
        <v>39</v>
      </c>
      <c r="L147">
        <v>6.7013698630136984</v>
      </c>
      <c r="M147" t="s">
        <v>92</v>
      </c>
    </row>
    <row r="148" spans="1:13" x14ac:dyDescent="0.3">
      <c r="A148" s="1" t="s">
        <v>468</v>
      </c>
      <c r="B148" s="1" t="s">
        <v>469</v>
      </c>
      <c r="C148" s="1" t="s">
        <v>470</v>
      </c>
      <c r="D148" s="1" t="s">
        <v>19</v>
      </c>
      <c r="E148" s="1" t="s">
        <v>43</v>
      </c>
      <c r="F148">
        <v>47646.95</v>
      </c>
      <c r="G148" t="s">
        <v>124</v>
      </c>
      <c r="H148" s="2">
        <v>43791</v>
      </c>
      <c r="I148">
        <v>0.3</v>
      </c>
      <c r="J148" s="1" t="s">
        <v>103</v>
      </c>
      <c r="K148" s="1" t="s">
        <v>35</v>
      </c>
      <c r="L148">
        <v>6.7287671232876711</v>
      </c>
      <c r="M148" t="s">
        <v>96</v>
      </c>
    </row>
    <row r="149" spans="1:13" x14ac:dyDescent="0.3">
      <c r="A149" s="1" t="s">
        <v>471</v>
      </c>
      <c r="B149" s="1" t="s">
        <v>472</v>
      </c>
      <c r="C149" s="1" t="s">
        <v>473</v>
      </c>
      <c r="D149" s="1" t="s">
        <v>19</v>
      </c>
      <c r="E149" s="1" t="s">
        <v>25</v>
      </c>
      <c r="F149">
        <v>28481.16</v>
      </c>
      <c r="G149" t="s">
        <v>124</v>
      </c>
      <c r="H149" s="2">
        <v>43916</v>
      </c>
      <c r="I149">
        <v>1</v>
      </c>
      <c r="J149" s="1" t="s">
        <v>11</v>
      </c>
      <c r="K149" s="1" t="s">
        <v>15</v>
      </c>
      <c r="L149">
        <v>6.3863013698630136</v>
      </c>
      <c r="M149" t="s">
        <v>92</v>
      </c>
    </row>
    <row r="150" spans="1:13" x14ac:dyDescent="0.3">
      <c r="A150" s="1" t="s">
        <v>68</v>
      </c>
      <c r="B150" s="1" t="s">
        <v>474</v>
      </c>
      <c r="C150" s="1" t="s">
        <v>117</v>
      </c>
      <c r="D150" s="1" t="s">
        <v>9</v>
      </c>
      <c r="E150" s="1" t="s">
        <v>58</v>
      </c>
      <c r="F150">
        <v>39535.49</v>
      </c>
      <c r="G150" t="s">
        <v>124</v>
      </c>
      <c r="H150" s="2">
        <v>43397</v>
      </c>
      <c r="I150">
        <v>0.3</v>
      </c>
      <c r="J150" s="1" t="s">
        <v>11</v>
      </c>
      <c r="K150" s="1" t="s">
        <v>20</v>
      </c>
      <c r="L150">
        <v>7.8082191780821919</v>
      </c>
      <c r="M150" t="s">
        <v>96</v>
      </c>
    </row>
    <row r="151" spans="1:13" x14ac:dyDescent="0.3">
      <c r="A151" s="1" t="s">
        <v>475</v>
      </c>
      <c r="B151" s="1" t="s">
        <v>476</v>
      </c>
      <c r="C151" s="1" t="s">
        <v>477</v>
      </c>
      <c r="D151" s="1" t="s">
        <v>19</v>
      </c>
      <c r="E151" s="1" t="s">
        <v>54</v>
      </c>
      <c r="F151">
        <v>95017.1</v>
      </c>
      <c r="G151" t="s">
        <v>95</v>
      </c>
      <c r="H151" s="2">
        <v>43283</v>
      </c>
      <c r="I151">
        <v>1</v>
      </c>
      <c r="J151" s="1" t="s">
        <v>103</v>
      </c>
      <c r="K151" s="1" t="s">
        <v>37</v>
      </c>
      <c r="L151">
        <v>8.1205479452054803</v>
      </c>
      <c r="M151" t="s">
        <v>92</v>
      </c>
    </row>
    <row r="152" spans="1:13" x14ac:dyDescent="0.3">
      <c r="A152" s="1" t="s">
        <v>478</v>
      </c>
      <c r="B152" s="1" t="s">
        <v>479</v>
      </c>
      <c r="C152" s="1" t="s">
        <v>480</v>
      </c>
      <c r="D152" s="1" t="s">
        <v>19</v>
      </c>
      <c r="E152" s="1" t="s">
        <v>14</v>
      </c>
      <c r="F152">
        <v>69764.100000000006</v>
      </c>
      <c r="G152" t="s">
        <v>95</v>
      </c>
      <c r="H152" s="2">
        <v>44195</v>
      </c>
      <c r="I152">
        <v>1</v>
      </c>
      <c r="J152" s="1" t="s">
        <v>103</v>
      </c>
      <c r="K152" s="1" t="s">
        <v>37</v>
      </c>
      <c r="L152">
        <v>5.6219178082191785</v>
      </c>
      <c r="M152" t="s">
        <v>92</v>
      </c>
    </row>
    <row r="153" spans="1:13" x14ac:dyDescent="0.3">
      <c r="A153" s="1" t="s">
        <v>481</v>
      </c>
      <c r="B153" s="1" t="s">
        <v>482</v>
      </c>
      <c r="C153" s="1" t="s">
        <v>483</v>
      </c>
      <c r="D153" s="1" t="s">
        <v>9</v>
      </c>
      <c r="E153" s="1" t="s">
        <v>58</v>
      </c>
      <c r="F153">
        <v>84598.88</v>
      </c>
      <c r="G153" t="s">
        <v>95</v>
      </c>
      <c r="H153" s="2">
        <v>44116</v>
      </c>
      <c r="I153">
        <v>1</v>
      </c>
      <c r="J153" s="1" t="s">
        <v>103</v>
      </c>
      <c r="K153" s="1" t="s">
        <v>37</v>
      </c>
      <c r="L153">
        <v>5.838356164383562</v>
      </c>
      <c r="M153" t="s">
        <v>92</v>
      </c>
    </row>
    <row r="154" spans="1:13" x14ac:dyDescent="0.3">
      <c r="A154" s="1" t="s">
        <v>484</v>
      </c>
      <c r="B154" s="1" t="s">
        <v>485</v>
      </c>
      <c r="C154" s="1" t="s">
        <v>486</v>
      </c>
      <c r="D154" s="1" t="s">
        <v>19</v>
      </c>
      <c r="E154" s="1" t="s">
        <v>41</v>
      </c>
      <c r="F154">
        <v>36536.26</v>
      </c>
      <c r="G154" t="s">
        <v>124</v>
      </c>
      <c r="H154" s="2">
        <v>44358</v>
      </c>
      <c r="I154">
        <v>1</v>
      </c>
      <c r="J154" s="1" t="s">
        <v>132</v>
      </c>
      <c r="K154" s="1" t="s">
        <v>15</v>
      </c>
      <c r="L154">
        <v>5.1753424657534248</v>
      </c>
      <c r="M154" t="s">
        <v>92</v>
      </c>
    </row>
    <row r="155" spans="1:13" x14ac:dyDescent="0.3">
      <c r="A155" s="1" t="s">
        <v>487</v>
      </c>
      <c r="B155" s="1" t="s">
        <v>488</v>
      </c>
      <c r="C155" s="1" t="s">
        <v>489</v>
      </c>
      <c r="D155" s="1" t="s">
        <v>9</v>
      </c>
      <c r="E155" s="1" t="s">
        <v>14</v>
      </c>
      <c r="F155">
        <v>61688.77</v>
      </c>
      <c r="G155" t="s">
        <v>95</v>
      </c>
      <c r="H155" s="2">
        <v>43346</v>
      </c>
      <c r="I155">
        <v>0.9</v>
      </c>
      <c r="J155" s="1" t="s">
        <v>11</v>
      </c>
      <c r="K155" s="1" t="s">
        <v>35</v>
      </c>
      <c r="L155">
        <v>7.9479452054794519</v>
      </c>
      <c r="M155" t="s">
        <v>96</v>
      </c>
    </row>
    <row r="156" spans="1:13" x14ac:dyDescent="0.3">
      <c r="A156" s="1" t="s">
        <v>490</v>
      </c>
      <c r="B156" s="1" t="s">
        <v>491</v>
      </c>
      <c r="C156" s="1" t="s">
        <v>492</v>
      </c>
      <c r="D156" s="1" t="s">
        <v>9</v>
      </c>
      <c r="E156" s="1" t="s">
        <v>41</v>
      </c>
      <c r="F156">
        <v>88425.08</v>
      </c>
      <c r="G156" t="s">
        <v>95</v>
      </c>
      <c r="H156" s="2">
        <v>43662</v>
      </c>
      <c r="I156">
        <v>1</v>
      </c>
      <c r="J156" s="1" t="s">
        <v>11</v>
      </c>
      <c r="K156" s="1" t="s">
        <v>15</v>
      </c>
      <c r="L156">
        <v>7.0821917808219181</v>
      </c>
      <c r="M156" t="s">
        <v>92</v>
      </c>
    </row>
    <row r="157" spans="1:13" x14ac:dyDescent="0.3">
      <c r="A157" s="1" t="s">
        <v>241</v>
      </c>
      <c r="B157" s="1" t="s">
        <v>493</v>
      </c>
      <c r="C157" s="1" t="s">
        <v>494</v>
      </c>
      <c r="D157" s="1" t="s">
        <v>9</v>
      </c>
      <c r="E157" s="1" t="s">
        <v>46</v>
      </c>
      <c r="F157">
        <v>38438.239999999998</v>
      </c>
      <c r="G157" t="s">
        <v>124</v>
      </c>
      <c r="H157" s="2">
        <v>43962</v>
      </c>
      <c r="I157">
        <v>1</v>
      </c>
      <c r="J157" s="1" t="s">
        <v>11</v>
      </c>
      <c r="K157" s="1" t="s">
        <v>35</v>
      </c>
      <c r="L157">
        <v>6.2602739726027394</v>
      </c>
      <c r="M157" t="s">
        <v>92</v>
      </c>
    </row>
    <row r="158" spans="1:13" x14ac:dyDescent="0.3">
      <c r="A158" s="1" t="s">
        <v>495</v>
      </c>
      <c r="B158" s="1" t="s">
        <v>496</v>
      </c>
      <c r="C158" s="1" t="s">
        <v>117</v>
      </c>
      <c r="D158" s="1" t="s">
        <v>19</v>
      </c>
      <c r="E158" s="1" t="s">
        <v>58</v>
      </c>
      <c r="F158">
        <v>96753.78</v>
      </c>
      <c r="G158" t="s">
        <v>95</v>
      </c>
      <c r="H158" s="2">
        <v>44494</v>
      </c>
      <c r="I158">
        <v>1</v>
      </c>
      <c r="J158" s="1" t="s">
        <v>11</v>
      </c>
      <c r="K158" s="1" t="s">
        <v>39</v>
      </c>
      <c r="L158">
        <v>4.8027397260273972</v>
      </c>
      <c r="M158" t="s">
        <v>92</v>
      </c>
    </row>
    <row r="159" spans="1:13" x14ac:dyDescent="0.3">
      <c r="A159" s="1" t="s">
        <v>346</v>
      </c>
      <c r="B159" s="1" t="s">
        <v>347</v>
      </c>
      <c r="C159" s="1" t="s">
        <v>348</v>
      </c>
      <c r="D159" s="1" t="s">
        <v>19</v>
      </c>
      <c r="E159" s="1" t="s">
        <v>10</v>
      </c>
      <c r="F159">
        <v>112778.28</v>
      </c>
      <c r="G159" t="s">
        <v>91</v>
      </c>
      <c r="H159" s="2">
        <v>43250</v>
      </c>
      <c r="I159">
        <v>1</v>
      </c>
      <c r="J159" s="1" t="s">
        <v>103</v>
      </c>
      <c r="K159" s="1" t="s">
        <v>20</v>
      </c>
      <c r="L159">
        <v>8.2109589041095887</v>
      </c>
      <c r="M159" t="s">
        <v>92</v>
      </c>
    </row>
    <row r="160" spans="1:13" x14ac:dyDescent="0.3">
      <c r="A160" s="1" t="s">
        <v>497</v>
      </c>
      <c r="B160" s="1" t="s">
        <v>498</v>
      </c>
      <c r="C160" s="1" t="s">
        <v>499</v>
      </c>
      <c r="D160" s="1" t="s">
        <v>9</v>
      </c>
      <c r="E160" s="1" t="s">
        <v>54</v>
      </c>
      <c r="F160">
        <v>28974.03</v>
      </c>
      <c r="G160" t="s">
        <v>124</v>
      </c>
      <c r="H160" s="2">
        <v>43733</v>
      </c>
      <c r="I160">
        <v>1</v>
      </c>
      <c r="J160" s="1" t="s">
        <v>11</v>
      </c>
      <c r="K160" s="1" t="s">
        <v>39</v>
      </c>
      <c r="L160">
        <v>6.8876712328767127</v>
      </c>
      <c r="M160" t="s">
        <v>92</v>
      </c>
    </row>
    <row r="161" spans="1:13" x14ac:dyDescent="0.3">
      <c r="A161" s="1" t="s">
        <v>500</v>
      </c>
      <c r="B161" s="1" t="s">
        <v>501</v>
      </c>
      <c r="C161" s="1" t="s">
        <v>502</v>
      </c>
      <c r="D161" s="1" t="s">
        <v>9</v>
      </c>
      <c r="E161" s="1" t="s">
        <v>14</v>
      </c>
      <c r="F161">
        <v>86233.83</v>
      </c>
      <c r="G161" t="s">
        <v>95</v>
      </c>
      <c r="H161" s="2">
        <v>43706</v>
      </c>
      <c r="I161">
        <v>1</v>
      </c>
      <c r="J161" s="1" t="s">
        <v>103</v>
      </c>
      <c r="K161" s="1" t="s">
        <v>35</v>
      </c>
      <c r="L161">
        <v>6.9616438356164387</v>
      </c>
      <c r="M161" t="s">
        <v>92</v>
      </c>
    </row>
    <row r="162" spans="1:13" x14ac:dyDescent="0.3">
      <c r="A162" s="1" t="s">
        <v>268</v>
      </c>
      <c r="B162" s="1" t="s">
        <v>269</v>
      </c>
      <c r="C162" s="1" t="s">
        <v>270</v>
      </c>
      <c r="D162" s="1" t="s">
        <v>9</v>
      </c>
      <c r="E162" s="1" t="s">
        <v>46</v>
      </c>
      <c r="F162">
        <v>66865.490000000005</v>
      </c>
      <c r="G162" t="s">
        <v>95</v>
      </c>
      <c r="H162" s="2">
        <v>43514</v>
      </c>
      <c r="I162">
        <v>1</v>
      </c>
      <c r="J162" s="1" t="s">
        <v>11</v>
      </c>
      <c r="K162" s="1" t="s">
        <v>37</v>
      </c>
      <c r="L162">
        <v>7.4876712328767123</v>
      </c>
      <c r="M162" t="s">
        <v>92</v>
      </c>
    </row>
    <row r="163" spans="1:13" x14ac:dyDescent="0.3">
      <c r="A163" s="1" t="s">
        <v>73</v>
      </c>
      <c r="B163" s="1" t="s">
        <v>503</v>
      </c>
      <c r="C163" s="1" t="s">
        <v>117</v>
      </c>
      <c r="D163" s="1" t="s">
        <v>19</v>
      </c>
      <c r="E163" s="1" t="s">
        <v>27</v>
      </c>
      <c r="F163">
        <v>119022.49</v>
      </c>
      <c r="G163" t="s">
        <v>91</v>
      </c>
      <c r="H163" s="2">
        <v>44431</v>
      </c>
      <c r="I163">
        <v>1</v>
      </c>
      <c r="J163" s="1" t="s">
        <v>11</v>
      </c>
      <c r="K163" s="1" t="s">
        <v>39</v>
      </c>
      <c r="L163">
        <v>4.9753424657534246</v>
      </c>
      <c r="M163" t="s">
        <v>92</v>
      </c>
    </row>
    <row r="164" spans="1:13" x14ac:dyDescent="0.3">
      <c r="A164" s="1" t="s">
        <v>26</v>
      </c>
      <c r="B164" s="1" t="s">
        <v>504</v>
      </c>
      <c r="C164" s="1" t="s">
        <v>505</v>
      </c>
      <c r="D164" s="1" t="s">
        <v>9</v>
      </c>
      <c r="E164" s="1" t="s">
        <v>27</v>
      </c>
      <c r="F164">
        <v>114177.23</v>
      </c>
      <c r="G164" t="s">
        <v>91</v>
      </c>
      <c r="H164" s="2">
        <v>43908</v>
      </c>
      <c r="I164">
        <v>1</v>
      </c>
      <c r="J164" s="1" t="s">
        <v>11</v>
      </c>
      <c r="K164" s="1" t="s">
        <v>12</v>
      </c>
      <c r="L164">
        <v>6.4082191780821915</v>
      </c>
      <c r="M164" t="s">
        <v>92</v>
      </c>
    </row>
    <row r="165" spans="1:13" x14ac:dyDescent="0.3">
      <c r="A165" s="1" t="s">
        <v>506</v>
      </c>
      <c r="B165" s="1" t="s">
        <v>507</v>
      </c>
      <c r="C165" s="1" t="s">
        <v>508</v>
      </c>
      <c r="D165" s="1" t="s">
        <v>9</v>
      </c>
      <c r="E165" s="1" t="s">
        <v>31</v>
      </c>
      <c r="F165">
        <v>100731.95</v>
      </c>
      <c r="G165" t="s">
        <v>91</v>
      </c>
      <c r="H165" s="2">
        <v>43936</v>
      </c>
      <c r="I165">
        <v>1</v>
      </c>
      <c r="J165" s="1" t="s">
        <v>11</v>
      </c>
      <c r="K165" s="1" t="s">
        <v>39</v>
      </c>
      <c r="L165">
        <v>6.3315068493150681</v>
      </c>
      <c r="M165" t="s">
        <v>92</v>
      </c>
    </row>
    <row r="166" spans="1:13" x14ac:dyDescent="0.3">
      <c r="A166" s="1" t="s">
        <v>509</v>
      </c>
      <c r="B166" s="1" t="s">
        <v>510</v>
      </c>
      <c r="C166" s="1" t="s">
        <v>511</v>
      </c>
      <c r="D166" s="1" t="s">
        <v>9</v>
      </c>
      <c r="E166" s="1" t="s">
        <v>10</v>
      </c>
      <c r="F166">
        <v>86010.54</v>
      </c>
      <c r="G166" t="s">
        <v>95</v>
      </c>
      <c r="H166" s="2">
        <v>43164</v>
      </c>
      <c r="I166">
        <v>1</v>
      </c>
      <c r="J166" s="1" t="s">
        <v>11</v>
      </c>
      <c r="K166" s="1" t="s">
        <v>35</v>
      </c>
      <c r="L166">
        <v>8.4465753424657528</v>
      </c>
      <c r="M166" t="s">
        <v>92</v>
      </c>
    </row>
    <row r="167" spans="1:13" x14ac:dyDescent="0.3">
      <c r="A167" s="1" t="s">
        <v>512</v>
      </c>
      <c r="B167" s="1" t="s">
        <v>513</v>
      </c>
      <c r="C167" s="1" t="s">
        <v>514</v>
      </c>
      <c r="D167" s="1" t="s">
        <v>19</v>
      </c>
      <c r="E167" s="1" t="s">
        <v>27</v>
      </c>
      <c r="F167">
        <v>52270.22</v>
      </c>
      <c r="G167" t="s">
        <v>95</v>
      </c>
      <c r="H167" s="2">
        <v>43521</v>
      </c>
      <c r="I167">
        <v>0.3</v>
      </c>
      <c r="J167" s="1" t="s">
        <v>11</v>
      </c>
      <c r="K167" s="1" t="s">
        <v>35</v>
      </c>
      <c r="L167">
        <v>7.4684931506849317</v>
      </c>
      <c r="M167" t="s">
        <v>96</v>
      </c>
    </row>
    <row r="168" spans="1:13" x14ac:dyDescent="0.3">
      <c r="A168" s="1" t="s">
        <v>515</v>
      </c>
      <c r="B168" s="1" t="s">
        <v>516</v>
      </c>
      <c r="C168" s="1" t="s">
        <v>517</v>
      </c>
      <c r="D168" s="1" t="s">
        <v>19</v>
      </c>
      <c r="E168" s="1" t="s">
        <v>41</v>
      </c>
      <c r="F168">
        <v>61624.77</v>
      </c>
      <c r="G168" t="s">
        <v>95</v>
      </c>
      <c r="H168" s="2">
        <v>43430</v>
      </c>
      <c r="I168">
        <v>0.3</v>
      </c>
      <c r="J168" s="1" t="s">
        <v>103</v>
      </c>
      <c r="K168" s="1" t="s">
        <v>15</v>
      </c>
      <c r="L168">
        <v>7.7178082191780826</v>
      </c>
      <c r="M168" t="s">
        <v>96</v>
      </c>
    </row>
    <row r="169" spans="1:13" x14ac:dyDescent="0.3">
      <c r="A169" s="1" t="s">
        <v>518</v>
      </c>
      <c r="B169" s="1" t="s">
        <v>519</v>
      </c>
      <c r="C169" s="1" t="s">
        <v>520</v>
      </c>
      <c r="D169" s="1" t="s">
        <v>9</v>
      </c>
      <c r="E169" s="1" t="s">
        <v>22</v>
      </c>
      <c r="F169">
        <v>104903.79</v>
      </c>
      <c r="G169" t="s">
        <v>91</v>
      </c>
      <c r="H169" s="2">
        <v>43649</v>
      </c>
      <c r="I169">
        <v>1</v>
      </c>
      <c r="J169" s="1" t="s">
        <v>11</v>
      </c>
      <c r="K169" s="1" t="s">
        <v>35</v>
      </c>
      <c r="L169">
        <v>7.117808219178082</v>
      </c>
      <c r="M169" t="s">
        <v>92</v>
      </c>
    </row>
    <row r="170" spans="1:13" x14ac:dyDescent="0.3">
      <c r="A170" s="1" t="s">
        <v>262</v>
      </c>
      <c r="B170" s="1" t="s">
        <v>263</v>
      </c>
      <c r="C170" s="1" t="s">
        <v>264</v>
      </c>
      <c r="D170" s="1" t="s">
        <v>9</v>
      </c>
      <c r="E170" s="1" t="s">
        <v>43</v>
      </c>
      <c r="F170">
        <v>69057.320000000007</v>
      </c>
      <c r="G170" t="s">
        <v>95</v>
      </c>
      <c r="H170" s="2">
        <v>43390</v>
      </c>
      <c r="I170">
        <v>1</v>
      </c>
      <c r="J170" s="1" t="s">
        <v>11</v>
      </c>
      <c r="K170" s="1" t="s">
        <v>12</v>
      </c>
      <c r="L170">
        <v>7.8273972602739725</v>
      </c>
      <c r="M170" t="s">
        <v>92</v>
      </c>
    </row>
    <row r="171" spans="1:13" x14ac:dyDescent="0.3">
      <c r="A171" s="1" t="s">
        <v>343</v>
      </c>
      <c r="B171" s="1" t="s">
        <v>344</v>
      </c>
      <c r="C171" s="1" t="s">
        <v>345</v>
      </c>
      <c r="D171" s="1" t="s">
        <v>19</v>
      </c>
      <c r="E171" s="1" t="s">
        <v>54</v>
      </c>
      <c r="F171">
        <v>59258.19</v>
      </c>
      <c r="G171" t="s">
        <v>95</v>
      </c>
      <c r="H171" s="2">
        <v>43452</v>
      </c>
      <c r="I171">
        <v>0.8</v>
      </c>
      <c r="J171" s="1" t="s">
        <v>11</v>
      </c>
      <c r="K171" s="1" t="s">
        <v>37</v>
      </c>
      <c r="L171">
        <v>7.6575342465753424</v>
      </c>
      <c r="M171" t="s">
        <v>96</v>
      </c>
    </row>
    <row r="172" spans="1:13" x14ac:dyDescent="0.3">
      <c r="A172" s="1" t="s">
        <v>521</v>
      </c>
      <c r="B172" s="1" t="s">
        <v>522</v>
      </c>
      <c r="C172" s="1" t="s">
        <v>117</v>
      </c>
      <c r="D172" s="1" t="s">
        <v>19</v>
      </c>
      <c r="E172" s="1" t="s">
        <v>33</v>
      </c>
      <c r="F172">
        <v>28160.79</v>
      </c>
      <c r="G172" t="s">
        <v>124</v>
      </c>
      <c r="H172" s="2">
        <v>43129</v>
      </c>
      <c r="I172">
        <v>1</v>
      </c>
      <c r="J172" s="1" t="s">
        <v>132</v>
      </c>
      <c r="K172" s="1" t="s">
        <v>20</v>
      </c>
      <c r="L172">
        <v>8.5424657534246577</v>
      </c>
      <c r="M172" t="s">
        <v>92</v>
      </c>
    </row>
    <row r="173" spans="1:13" x14ac:dyDescent="0.3">
      <c r="A173" s="1" t="s">
        <v>523</v>
      </c>
      <c r="B173" s="1" t="s">
        <v>524</v>
      </c>
      <c r="C173" s="1" t="s">
        <v>525</v>
      </c>
      <c r="D173" s="1" t="s">
        <v>19</v>
      </c>
      <c r="E173" s="1" t="s">
        <v>41</v>
      </c>
      <c r="F173">
        <v>109143.17</v>
      </c>
      <c r="G173" t="s">
        <v>91</v>
      </c>
      <c r="H173" s="2">
        <v>43945</v>
      </c>
      <c r="I173">
        <v>1</v>
      </c>
      <c r="J173" s="1" t="s">
        <v>11</v>
      </c>
      <c r="K173" s="1" t="s">
        <v>12</v>
      </c>
      <c r="L173">
        <v>6.3068493150684928</v>
      </c>
      <c r="M173" t="s">
        <v>92</v>
      </c>
    </row>
    <row r="174" spans="1:13" x14ac:dyDescent="0.3">
      <c r="A174" s="1" t="s">
        <v>526</v>
      </c>
      <c r="B174" s="1" t="s">
        <v>527</v>
      </c>
      <c r="C174" s="1" t="s">
        <v>528</v>
      </c>
      <c r="D174" s="1" t="s">
        <v>9</v>
      </c>
      <c r="E174" s="1" t="s">
        <v>22</v>
      </c>
      <c r="F174">
        <v>70755.5</v>
      </c>
      <c r="G174" t="s">
        <v>95</v>
      </c>
      <c r="H174" s="2">
        <v>44090</v>
      </c>
      <c r="I174">
        <v>0.8</v>
      </c>
      <c r="J174" s="1" t="s">
        <v>132</v>
      </c>
      <c r="K174" s="1" t="s">
        <v>15</v>
      </c>
      <c r="L174">
        <v>5.9095890410958907</v>
      </c>
      <c r="M174" t="s">
        <v>96</v>
      </c>
    </row>
    <row r="175" spans="1:13" x14ac:dyDescent="0.3">
      <c r="A175" s="1" t="s">
        <v>176</v>
      </c>
      <c r="B175" s="1" t="s">
        <v>177</v>
      </c>
      <c r="C175" s="1" t="s">
        <v>178</v>
      </c>
      <c r="D175" s="1" t="s">
        <v>19</v>
      </c>
      <c r="E175" s="1" t="s">
        <v>14</v>
      </c>
      <c r="F175">
        <v>73360.38</v>
      </c>
      <c r="G175" t="s">
        <v>95</v>
      </c>
      <c r="H175" s="2">
        <v>43972</v>
      </c>
      <c r="I175">
        <v>1</v>
      </c>
      <c r="J175" s="1" t="s">
        <v>132</v>
      </c>
      <c r="K175" s="1" t="s">
        <v>20</v>
      </c>
      <c r="L175">
        <v>6.2328767123287667</v>
      </c>
      <c r="M175" t="s">
        <v>92</v>
      </c>
    </row>
    <row r="176" spans="1:13" x14ac:dyDescent="0.3">
      <c r="A176" s="1" t="s">
        <v>408</v>
      </c>
      <c r="B176" s="1" t="s">
        <v>529</v>
      </c>
      <c r="C176" s="1" t="s">
        <v>530</v>
      </c>
      <c r="D176" s="1" t="s">
        <v>9</v>
      </c>
      <c r="E176" s="1" t="s">
        <v>27</v>
      </c>
      <c r="F176">
        <v>76303.820000000007</v>
      </c>
      <c r="G176" t="s">
        <v>95</v>
      </c>
      <c r="H176" s="2">
        <v>43458</v>
      </c>
      <c r="I176">
        <v>1</v>
      </c>
      <c r="J176" s="1" t="s">
        <v>103</v>
      </c>
      <c r="K176" s="1" t="s">
        <v>15</v>
      </c>
      <c r="L176">
        <v>7.6410958904109592</v>
      </c>
      <c r="M176" t="s">
        <v>92</v>
      </c>
    </row>
    <row r="177" spans="1:13" x14ac:dyDescent="0.3">
      <c r="A177" s="1" t="s">
        <v>52</v>
      </c>
      <c r="B177" s="1" t="s">
        <v>531</v>
      </c>
      <c r="C177" s="1" t="s">
        <v>117</v>
      </c>
      <c r="D177" s="1" t="s">
        <v>9</v>
      </c>
      <c r="E177" s="1" t="s">
        <v>41</v>
      </c>
      <c r="F177">
        <v>58861.19</v>
      </c>
      <c r="G177" t="s">
        <v>95</v>
      </c>
      <c r="H177" s="2">
        <v>43654</v>
      </c>
      <c r="I177">
        <v>1</v>
      </c>
      <c r="J177" s="1" t="s">
        <v>11</v>
      </c>
      <c r="K177" s="1" t="s">
        <v>17</v>
      </c>
      <c r="L177">
        <v>7.1041095890410961</v>
      </c>
      <c r="M177" t="s">
        <v>92</v>
      </c>
    </row>
    <row r="178" spans="1:13" x14ac:dyDescent="0.3">
      <c r="A178" s="1" t="s">
        <v>532</v>
      </c>
      <c r="B178" s="1" t="s">
        <v>533</v>
      </c>
      <c r="C178" s="1" t="s">
        <v>534</v>
      </c>
      <c r="D178" s="1" t="s">
        <v>9</v>
      </c>
      <c r="E178" s="1" t="s">
        <v>10</v>
      </c>
      <c r="F178">
        <v>58744.17</v>
      </c>
      <c r="G178" t="s">
        <v>95</v>
      </c>
      <c r="H178" s="2">
        <v>43171</v>
      </c>
      <c r="I178">
        <v>1</v>
      </c>
      <c r="J178" s="1" t="s">
        <v>132</v>
      </c>
      <c r="K178" s="1" t="s">
        <v>17</v>
      </c>
      <c r="L178">
        <v>8.4273972602739722</v>
      </c>
      <c r="M178" t="s">
        <v>92</v>
      </c>
    </row>
    <row r="179" spans="1:13" x14ac:dyDescent="0.3">
      <c r="A179" s="1" t="s">
        <v>535</v>
      </c>
      <c r="B179" s="1" t="s">
        <v>536</v>
      </c>
      <c r="C179" s="1" t="s">
        <v>537</v>
      </c>
      <c r="D179" s="1" t="s">
        <v>9</v>
      </c>
      <c r="E179" s="1" t="s">
        <v>31</v>
      </c>
      <c r="F179">
        <v>73488.679999999993</v>
      </c>
      <c r="G179" t="s">
        <v>95</v>
      </c>
      <c r="H179" s="2">
        <v>43570</v>
      </c>
      <c r="I179">
        <v>1</v>
      </c>
      <c r="J179" s="1" t="s">
        <v>103</v>
      </c>
      <c r="K179" s="1" t="s">
        <v>37</v>
      </c>
      <c r="L179">
        <v>7.3342465753424655</v>
      </c>
      <c r="M179" t="s">
        <v>92</v>
      </c>
    </row>
    <row r="180" spans="1:13" x14ac:dyDescent="0.3">
      <c r="A180" s="1" t="s">
        <v>538</v>
      </c>
      <c r="B180" s="1" t="s">
        <v>539</v>
      </c>
      <c r="C180" s="1" t="s">
        <v>540</v>
      </c>
      <c r="D180" s="1" t="s">
        <v>9</v>
      </c>
      <c r="E180" s="1" t="s">
        <v>31</v>
      </c>
      <c r="F180">
        <v>92704.48</v>
      </c>
      <c r="G180" t="s">
        <v>95</v>
      </c>
      <c r="H180" s="2">
        <v>43430</v>
      </c>
      <c r="I180">
        <v>1</v>
      </c>
      <c r="J180" s="1" t="s">
        <v>103</v>
      </c>
      <c r="K180" s="1" t="s">
        <v>17</v>
      </c>
      <c r="L180">
        <v>7.7178082191780826</v>
      </c>
      <c r="M180" t="s">
        <v>92</v>
      </c>
    </row>
    <row r="181" spans="1:13" x14ac:dyDescent="0.3">
      <c r="A181" s="1" t="s">
        <v>541</v>
      </c>
      <c r="B181" s="1" t="s">
        <v>542</v>
      </c>
      <c r="C181" s="1" t="s">
        <v>543</v>
      </c>
      <c r="D181" s="1" t="s">
        <v>19</v>
      </c>
      <c r="E181" s="1" t="s">
        <v>41</v>
      </c>
      <c r="F181">
        <v>78443.78</v>
      </c>
      <c r="G181" t="s">
        <v>95</v>
      </c>
      <c r="H181" s="2">
        <v>43599</v>
      </c>
      <c r="I181">
        <v>1</v>
      </c>
      <c r="J181" s="1" t="s">
        <v>103</v>
      </c>
      <c r="K181" s="1" t="s">
        <v>15</v>
      </c>
      <c r="L181">
        <v>7.2547945205479456</v>
      </c>
      <c r="M181" t="s">
        <v>92</v>
      </c>
    </row>
    <row r="182" spans="1:13" x14ac:dyDescent="0.3">
      <c r="A182" s="1" t="s">
        <v>40</v>
      </c>
      <c r="B182" s="1" t="s">
        <v>544</v>
      </c>
      <c r="C182" s="1" t="s">
        <v>545</v>
      </c>
      <c r="D182" s="1" t="s">
        <v>9</v>
      </c>
      <c r="E182" s="1" t="s">
        <v>41</v>
      </c>
      <c r="F182">
        <v>97105.19</v>
      </c>
      <c r="G182" t="s">
        <v>95</v>
      </c>
      <c r="H182" s="2">
        <v>44425</v>
      </c>
      <c r="I182">
        <v>1</v>
      </c>
      <c r="J182" s="1" t="s">
        <v>11</v>
      </c>
      <c r="K182" s="1" t="s">
        <v>17</v>
      </c>
      <c r="L182">
        <v>4.9917808219178079</v>
      </c>
      <c r="M182" t="s">
        <v>92</v>
      </c>
    </row>
    <row r="183" spans="1:13" x14ac:dyDescent="0.3">
      <c r="A183" s="1" t="s">
        <v>546</v>
      </c>
      <c r="B183" s="1" t="s">
        <v>547</v>
      </c>
      <c r="C183" s="1" t="s">
        <v>548</v>
      </c>
      <c r="D183" s="1" t="s">
        <v>9</v>
      </c>
      <c r="E183" s="1" t="s">
        <v>43</v>
      </c>
      <c r="F183">
        <v>109163.39</v>
      </c>
      <c r="G183" t="s">
        <v>91</v>
      </c>
      <c r="H183" s="2">
        <v>44019</v>
      </c>
      <c r="I183">
        <v>0.8</v>
      </c>
      <c r="J183" s="1" t="s">
        <v>11</v>
      </c>
      <c r="K183" s="1" t="s">
        <v>37</v>
      </c>
      <c r="L183">
        <v>6.1041095890410961</v>
      </c>
      <c r="M183" t="s">
        <v>96</v>
      </c>
    </row>
    <row r="184" spans="1:13" x14ac:dyDescent="0.3">
      <c r="A184" s="1" t="s">
        <v>549</v>
      </c>
      <c r="B184" s="1" t="s">
        <v>550</v>
      </c>
      <c r="C184" s="1" t="s">
        <v>117</v>
      </c>
      <c r="D184" s="1" t="s">
        <v>19</v>
      </c>
      <c r="E184" s="1" t="s">
        <v>22</v>
      </c>
      <c r="F184">
        <v>31816.57</v>
      </c>
      <c r="G184" t="s">
        <v>124</v>
      </c>
      <c r="H184" s="2">
        <v>43497</v>
      </c>
      <c r="I184">
        <v>0.3</v>
      </c>
      <c r="J184" s="1" t="s">
        <v>103</v>
      </c>
      <c r="K184" s="1" t="s">
        <v>20</v>
      </c>
      <c r="L184">
        <v>7.5342465753424657</v>
      </c>
      <c r="M184" t="s">
        <v>96</v>
      </c>
    </row>
    <row r="185" spans="1:13" x14ac:dyDescent="0.3">
      <c r="A185" s="1" t="s">
        <v>551</v>
      </c>
      <c r="B185" s="1" t="s">
        <v>552</v>
      </c>
      <c r="C185" s="1" t="s">
        <v>553</v>
      </c>
      <c r="D185" s="1" t="s">
        <v>9</v>
      </c>
      <c r="E185" s="1" t="s">
        <v>41</v>
      </c>
      <c r="F185">
        <v>118442.54</v>
      </c>
      <c r="G185" t="s">
        <v>91</v>
      </c>
      <c r="H185" s="2">
        <v>44193</v>
      </c>
      <c r="I185">
        <v>1</v>
      </c>
      <c r="J185" s="1" t="s">
        <v>11</v>
      </c>
      <c r="K185" s="1" t="s">
        <v>39</v>
      </c>
      <c r="L185">
        <v>5.6273972602739724</v>
      </c>
      <c r="M185" t="s">
        <v>92</v>
      </c>
    </row>
    <row r="186" spans="1:13" x14ac:dyDescent="0.3">
      <c r="A186" s="1" t="s">
        <v>64</v>
      </c>
      <c r="B186" s="1" t="s">
        <v>554</v>
      </c>
      <c r="C186" s="1" t="s">
        <v>555</v>
      </c>
      <c r="D186" s="1" t="s">
        <v>9</v>
      </c>
      <c r="E186" s="1" t="s">
        <v>10</v>
      </c>
      <c r="F186">
        <v>84745.93</v>
      </c>
      <c r="G186" t="s">
        <v>95</v>
      </c>
      <c r="H186" s="2">
        <v>43707</v>
      </c>
      <c r="I186">
        <v>1</v>
      </c>
      <c r="J186" s="1" t="s">
        <v>11</v>
      </c>
      <c r="K186" s="1" t="s">
        <v>12</v>
      </c>
      <c r="L186">
        <v>6.9589041095890414</v>
      </c>
      <c r="M186" t="s">
        <v>92</v>
      </c>
    </row>
    <row r="187" spans="1:13" x14ac:dyDescent="0.3">
      <c r="A187" s="1" t="s">
        <v>192</v>
      </c>
      <c r="B187" s="1" t="s">
        <v>193</v>
      </c>
      <c r="C187" s="1" t="s">
        <v>194</v>
      </c>
      <c r="D187" s="1" t="s">
        <v>9</v>
      </c>
      <c r="E187" s="1" t="s">
        <v>27</v>
      </c>
      <c r="F187">
        <v>69163.39</v>
      </c>
      <c r="G187" t="s">
        <v>95</v>
      </c>
      <c r="H187" s="2">
        <v>43397</v>
      </c>
      <c r="I187">
        <v>1</v>
      </c>
      <c r="J187" s="1" t="s">
        <v>11</v>
      </c>
      <c r="K187" s="1" t="s">
        <v>20</v>
      </c>
      <c r="L187">
        <v>7.8082191780821919</v>
      </c>
      <c r="M187" t="s">
        <v>92</v>
      </c>
    </row>
    <row r="188" spans="1:13" x14ac:dyDescent="0.3">
      <c r="A188" s="1" t="s">
        <v>481</v>
      </c>
      <c r="B188" s="1" t="s">
        <v>482</v>
      </c>
      <c r="C188" s="1" t="s">
        <v>483</v>
      </c>
      <c r="D188" s="1" t="s">
        <v>9</v>
      </c>
      <c r="E188" s="1" t="s">
        <v>58</v>
      </c>
      <c r="F188">
        <v>84598.88</v>
      </c>
      <c r="G188" t="s">
        <v>95</v>
      </c>
      <c r="H188" s="2">
        <v>44116</v>
      </c>
      <c r="I188">
        <v>1</v>
      </c>
      <c r="J188" s="1" t="s">
        <v>103</v>
      </c>
      <c r="K188" s="1" t="s">
        <v>37</v>
      </c>
      <c r="L188">
        <v>5.838356164383562</v>
      </c>
      <c r="M188" t="s">
        <v>92</v>
      </c>
    </row>
    <row r="189" spans="1:13" x14ac:dyDescent="0.3">
      <c r="A189" s="1" t="s">
        <v>556</v>
      </c>
      <c r="B189" s="1" t="s">
        <v>557</v>
      </c>
      <c r="C189" s="1" t="s">
        <v>117</v>
      </c>
      <c r="D189" s="1" t="s">
        <v>9</v>
      </c>
      <c r="E189" s="1" t="s">
        <v>46</v>
      </c>
      <c r="F189">
        <v>68795.48</v>
      </c>
      <c r="G189" t="s">
        <v>95</v>
      </c>
      <c r="H189" s="2">
        <v>44277</v>
      </c>
      <c r="I189">
        <v>0.2</v>
      </c>
      <c r="J189" s="1" t="s">
        <v>11</v>
      </c>
      <c r="K189" s="1" t="s">
        <v>20</v>
      </c>
      <c r="L189">
        <v>5.397260273972603</v>
      </c>
      <c r="M189" t="s">
        <v>96</v>
      </c>
    </row>
    <row r="190" spans="1:13" x14ac:dyDescent="0.3">
      <c r="A190" s="1" t="s">
        <v>558</v>
      </c>
      <c r="B190" s="1" t="s">
        <v>559</v>
      </c>
      <c r="C190" s="1" t="s">
        <v>560</v>
      </c>
      <c r="D190" s="1" t="s">
        <v>9</v>
      </c>
      <c r="E190" s="1" t="s">
        <v>43</v>
      </c>
      <c r="F190">
        <v>32269.91</v>
      </c>
      <c r="G190" t="s">
        <v>124</v>
      </c>
      <c r="H190" s="2">
        <v>43346</v>
      </c>
      <c r="I190">
        <v>1</v>
      </c>
      <c r="J190" s="1" t="s">
        <v>11</v>
      </c>
      <c r="K190" s="1" t="s">
        <v>20</v>
      </c>
      <c r="L190">
        <v>7.9479452054794519</v>
      </c>
      <c r="M190" t="s">
        <v>92</v>
      </c>
    </row>
    <row r="191" spans="1:13" x14ac:dyDescent="0.3">
      <c r="A191" s="1" t="s">
        <v>561</v>
      </c>
      <c r="B191" s="1" t="s">
        <v>562</v>
      </c>
      <c r="C191" s="1" t="s">
        <v>563</v>
      </c>
      <c r="D191" s="1" t="s">
        <v>19</v>
      </c>
      <c r="E191" s="1" t="s">
        <v>33</v>
      </c>
      <c r="F191">
        <v>78705.929999999993</v>
      </c>
      <c r="G191" t="s">
        <v>95</v>
      </c>
      <c r="H191" s="2">
        <v>43409</v>
      </c>
      <c r="I191">
        <v>1</v>
      </c>
      <c r="J191" s="1" t="s">
        <v>103</v>
      </c>
      <c r="K191" s="1" t="s">
        <v>37</v>
      </c>
      <c r="L191">
        <v>7.7753424657534245</v>
      </c>
      <c r="M191" t="s">
        <v>92</v>
      </c>
    </row>
    <row r="192" spans="1:13" x14ac:dyDescent="0.3">
      <c r="A192" s="1" t="s">
        <v>564</v>
      </c>
      <c r="B192" s="1" t="s">
        <v>565</v>
      </c>
      <c r="C192" s="1" t="s">
        <v>566</v>
      </c>
      <c r="D192" s="1" t="s">
        <v>19</v>
      </c>
      <c r="E192" s="1" t="s">
        <v>22</v>
      </c>
      <c r="F192">
        <v>53535.62</v>
      </c>
      <c r="G192" t="s">
        <v>95</v>
      </c>
      <c r="H192" s="2">
        <v>44110</v>
      </c>
      <c r="I192">
        <v>0.5</v>
      </c>
      <c r="J192" s="1" t="s">
        <v>103</v>
      </c>
      <c r="K192" s="1" t="s">
        <v>37</v>
      </c>
      <c r="L192">
        <v>5.8547945205479452</v>
      </c>
      <c r="M192" t="s">
        <v>96</v>
      </c>
    </row>
    <row r="193" spans="1:13" x14ac:dyDescent="0.3">
      <c r="A193" s="1" t="s">
        <v>57</v>
      </c>
      <c r="B193" s="1" t="s">
        <v>337</v>
      </c>
      <c r="C193" s="1" t="s">
        <v>567</v>
      </c>
      <c r="D193" s="1" t="s">
        <v>9</v>
      </c>
      <c r="E193" s="1" t="s">
        <v>58</v>
      </c>
      <c r="F193">
        <v>41934.71</v>
      </c>
      <c r="G193" t="s">
        <v>124</v>
      </c>
      <c r="H193" s="2">
        <v>43780</v>
      </c>
      <c r="I193">
        <v>1</v>
      </c>
      <c r="J193" s="1" t="s">
        <v>11</v>
      </c>
      <c r="K193" s="1" t="s">
        <v>20</v>
      </c>
      <c r="L193">
        <v>6.7589041095890412</v>
      </c>
      <c r="M193" t="s">
        <v>92</v>
      </c>
    </row>
    <row r="194" spans="1:13" x14ac:dyDescent="0.3">
      <c r="A194" s="1" t="s">
        <v>568</v>
      </c>
      <c r="B194" s="1" t="s">
        <v>266</v>
      </c>
      <c r="C194" s="1" t="s">
        <v>117</v>
      </c>
      <c r="D194" s="1" t="s">
        <v>9</v>
      </c>
      <c r="E194" s="1" t="s">
        <v>46</v>
      </c>
      <c r="F194">
        <v>91929.69</v>
      </c>
      <c r="G194" t="s">
        <v>95</v>
      </c>
      <c r="H194" s="2">
        <v>44085</v>
      </c>
      <c r="I194">
        <v>1</v>
      </c>
      <c r="J194" s="1" t="s">
        <v>103</v>
      </c>
      <c r="K194" s="1" t="s">
        <v>20</v>
      </c>
      <c r="L194">
        <v>5.9232876712328766</v>
      </c>
      <c r="M194" t="s">
        <v>92</v>
      </c>
    </row>
    <row r="195" spans="1:13" x14ac:dyDescent="0.3">
      <c r="A195" s="1" t="s">
        <v>83</v>
      </c>
      <c r="B195" s="1" t="s">
        <v>569</v>
      </c>
      <c r="C195" s="1" t="s">
        <v>570</v>
      </c>
      <c r="D195" s="1" t="s">
        <v>19</v>
      </c>
      <c r="E195" s="1" t="s">
        <v>33</v>
      </c>
      <c r="F195">
        <v>62281.24</v>
      </c>
      <c r="G195" t="s">
        <v>95</v>
      </c>
      <c r="H195" s="2">
        <v>43272</v>
      </c>
      <c r="I195">
        <v>1</v>
      </c>
      <c r="J195" s="1" t="s">
        <v>11</v>
      </c>
      <c r="K195" s="1" t="s">
        <v>20</v>
      </c>
      <c r="L195">
        <v>8.1506849315068486</v>
      </c>
      <c r="M195" t="s">
        <v>92</v>
      </c>
    </row>
    <row r="196" spans="1:13" x14ac:dyDescent="0.3">
      <c r="A196" s="1" t="s">
        <v>571</v>
      </c>
      <c r="B196" s="1" t="s">
        <v>117</v>
      </c>
      <c r="C196" s="1" t="s">
        <v>572</v>
      </c>
      <c r="D196" s="1" t="s">
        <v>19</v>
      </c>
      <c r="E196" s="1" t="s">
        <v>27</v>
      </c>
      <c r="F196">
        <v>57925.91</v>
      </c>
      <c r="G196" t="s">
        <v>95</v>
      </c>
      <c r="H196" s="2">
        <v>43572</v>
      </c>
      <c r="I196">
        <v>0.5</v>
      </c>
      <c r="J196" s="1" t="s">
        <v>11</v>
      </c>
      <c r="K196" s="1" t="s">
        <v>12</v>
      </c>
      <c r="L196">
        <v>7.3287671232876717</v>
      </c>
      <c r="M196" t="s">
        <v>96</v>
      </c>
    </row>
    <row r="197" spans="1:13" x14ac:dyDescent="0.3">
      <c r="A197" s="1" t="s">
        <v>573</v>
      </c>
      <c r="B197" s="1" t="s">
        <v>574</v>
      </c>
      <c r="C197" s="1" t="s">
        <v>575</v>
      </c>
      <c r="D197" s="1" t="s">
        <v>19</v>
      </c>
      <c r="E197" s="1" t="s">
        <v>41</v>
      </c>
      <c r="F197">
        <v>82239.53</v>
      </c>
      <c r="G197" t="s">
        <v>95</v>
      </c>
      <c r="H197" s="2">
        <v>43846</v>
      </c>
      <c r="I197">
        <v>1</v>
      </c>
      <c r="J197" s="1" t="s">
        <v>132</v>
      </c>
      <c r="K197" s="1" t="s">
        <v>17</v>
      </c>
      <c r="L197">
        <v>6.5780821917808217</v>
      </c>
      <c r="M197" t="s">
        <v>92</v>
      </c>
    </row>
    <row r="198" spans="1:13" x14ac:dyDescent="0.3">
      <c r="A198" s="1" t="s">
        <v>576</v>
      </c>
      <c r="B198" s="1" t="s">
        <v>577</v>
      </c>
      <c r="C198" s="1" t="s">
        <v>578</v>
      </c>
      <c r="D198" s="1" t="s">
        <v>19</v>
      </c>
      <c r="E198" s="1" t="s">
        <v>41</v>
      </c>
      <c r="F198">
        <v>53184.02</v>
      </c>
      <c r="G198" t="s">
        <v>95</v>
      </c>
      <c r="H198" s="2">
        <v>43180</v>
      </c>
      <c r="I198">
        <v>1</v>
      </c>
      <c r="J198" s="1" t="s">
        <v>103</v>
      </c>
      <c r="K198" s="1" t="s">
        <v>20</v>
      </c>
      <c r="L198">
        <v>8.4027397260273968</v>
      </c>
      <c r="M198" t="s">
        <v>92</v>
      </c>
    </row>
    <row r="199" spans="1:13" x14ac:dyDescent="0.3">
      <c r="A199" s="1" t="s">
        <v>34</v>
      </c>
      <c r="B199" s="1" t="s">
        <v>579</v>
      </c>
      <c r="C199" s="1" t="s">
        <v>580</v>
      </c>
      <c r="D199" s="1" t="s">
        <v>19</v>
      </c>
      <c r="E199" s="1" t="s">
        <v>27</v>
      </c>
      <c r="F199">
        <v>35936.31</v>
      </c>
      <c r="G199" t="s">
        <v>124</v>
      </c>
      <c r="H199" s="2">
        <v>43241</v>
      </c>
      <c r="I199">
        <v>1</v>
      </c>
      <c r="J199" s="1" t="s">
        <v>11</v>
      </c>
      <c r="K199" s="1" t="s">
        <v>35</v>
      </c>
      <c r="L199">
        <v>8.2356164383561641</v>
      </c>
      <c r="M199" t="s">
        <v>92</v>
      </c>
    </row>
    <row r="200" spans="1:13" x14ac:dyDescent="0.3">
      <c r="A200" s="1" t="s">
        <v>581</v>
      </c>
      <c r="B200" s="1" t="s">
        <v>582</v>
      </c>
      <c r="C200" s="1" t="s">
        <v>583</v>
      </c>
      <c r="D200" s="1" t="s">
        <v>9</v>
      </c>
      <c r="E200" s="1" t="s">
        <v>43</v>
      </c>
      <c r="F200">
        <v>28305.08</v>
      </c>
      <c r="G200" t="s">
        <v>124</v>
      </c>
      <c r="H200" s="2">
        <v>43754</v>
      </c>
      <c r="I200">
        <v>1</v>
      </c>
      <c r="J200" s="1" t="s">
        <v>11</v>
      </c>
      <c r="K200" s="1" t="s">
        <v>20</v>
      </c>
      <c r="L200">
        <v>6.8301369863013699</v>
      </c>
      <c r="M200" t="s">
        <v>92</v>
      </c>
    </row>
    <row r="201" spans="1:13" x14ac:dyDescent="0.3">
      <c r="A201" s="1" t="s">
        <v>28</v>
      </c>
      <c r="B201" s="1" t="s">
        <v>584</v>
      </c>
      <c r="C201" s="1" t="s">
        <v>585</v>
      </c>
      <c r="D201" s="1" t="s">
        <v>19</v>
      </c>
      <c r="E201" s="1" t="s">
        <v>25</v>
      </c>
      <c r="F201">
        <v>29774.76</v>
      </c>
      <c r="G201" t="s">
        <v>124</v>
      </c>
      <c r="H201" s="2">
        <v>44105</v>
      </c>
      <c r="I201">
        <v>1</v>
      </c>
      <c r="J201" s="1" t="s">
        <v>11</v>
      </c>
      <c r="K201" s="1" t="s">
        <v>12</v>
      </c>
      <c r="L201">
        <v>5.8684931506849312</v>
      </c>
      <c r="M201" t="s">
        <v>92</v>
      </c>
    </row>
    <row r="202" spans="1:13" x14ac:dyDescent="0.3">
      <c r="A202" s="1" t="s">
        <v>586</v>
      </c>
      <c r="B202" s="1" t="s">
        <v>587</v>
      </c>
      <c r="C202" s="1" t="s">
        <v>588</v>
      </c>
      <c r="D202" s="1" t="s">
        <v>19</v>
      </c>
      <c r="E202" s="1" t="s">
        <v>27</v>
      </c>
      <c r="F202">
        <v>102515.81</v>
      </c>
      <c r="G202" t="s">
        <v>91</v>
      </c>
      <c r="H202" s="2">
        <v>43902</v>
      </c>
      <c r="I202">
        <v>1</v>
      </c>
      <c r="J202" s="1" t="s">
        <v>103</v>
      </c>
      <c r="K202" s="1" t="s">
        <v>35</v>
      </c>
      <c r="L202">
        <v>6.4246575342465757</v>
      </c>
      <c r="M202" t="s">
        <v>92</v>
      </c>
    </row>
    <row r="203" spans="1:13" x14ac:dyDescent="0.3">
      <c r="A203" s="1" t="s">
        <v>265</v>
      </c>
      <c r="B203" s="1" t="s">
        <v>266</v>
      </c>
      <c r="C203" s="1" t="s">
        <v>267</v>
      </c>
      <c r="D203" s="1" t="s">
        <v>112</v>
      </c>
      <c r="E203" s="1" t="s">
        <v>31</v>
      </c>
      <c r="F203">
        <v>99448.78</v>
      </c>
      <c r="G203" t="s">
        <v>95</v>
      </c>
      <c r="H203" s="2">
        <v>43473</v>
      </c>
      <c r="I203">
        <v>1</v>
      </c>
      <c r="J203" s="1" t="s">
        <v>103</v>
      </c>
      <c r="K203" s="1" t="s">
        <v>12</v>
      </c>
      <c r="L203">
        <v>7.6</v>
      </c>
      <c r="M203" t="s">
        <v>92</v>
      </c>
    </row>
    <row r="204" spans="1:13" x14ac:dyDescent="0.3">
      <c r="A204" s="1" t="s">
        <v>556</v>
      </c>
      <c r="B204" s="1" t="s">
        <v>557</v>
      </c>
      <c r="C204" s="1" t="s">
        <v>117</v>
      </c>
      <c r="D204" s="1" t="s">
        <v>9</v>
      </c>
      <c r="E204" s="1" t="s">
        <v>46</v>
      </c>
      <c r="F204">
        <v>68795.48</v>
      </c>
      <c r="G204" t="s">
        <v>95</v>
      </c>
      <c r="H204" s="2">
        <v>44277</v>
      </c>
      <c r="I204">
        <v>0.2</v>
      </c>
      <c r="J204" s="1" t="s">
        <v>11</v>
      </c>
      <c r="K204" s="1" t="s">
        <v>20</v>
      </c>
      <c r="L204">
        <v>5.397260273972603</v>
      </c>
      <c r="M204" t="s">
        <v>96</v>
      </c>
    </row>
    <row r="205" spans="1:13" x14ac:dyDescent="0.3">
      <c r="A205" s="1" t="s">
        <v>322</v>
      </c>
      <c r="B205" s="1" t="s">
        <v>323</v>
      </c>
      <c r="C205" s="1" t="s">
        <v>324</v>
      </c>
      <c r="D205" s="1" t="s">
        <v>9</v>
      </c>
      <c r="E205" s="1" t="s">
        <v>33</v>
      </c>
      <c r="F205">
        <v>99683.67</v>
      </c>
      <c r="G205" t="s">
        <v>95</v>
      </c>
      <c r="H205" s="2">
        <v>43500</v>
      </c>
      <c r="I205">
        <v>1</v>
      </c>
      <c r="J205" s="1" t="s">
        <v>103</v>
      </c>
      <c r="K205" s="1" t="s">
        <v>37</v>
      </c>
      <c r="L205">
        <v>7.5260273972602736</v>
      </c>
      <c r="M205" t="s">
        <v>92</v>
      </c>
    </row>
    <row r="206" spans="1:13" x14ac:dyDescent="0.3">
      <c r="A206" s="1" t="s">
        <v>589</v>
      </c>
      <c r="B206" s="1" t="s">
        <v>590</v>
      </c>
      <c r="C206" s="1" t="s">
        <v>591</v>
      </c>
      <c r="D206" s="1" t="s">
        <v>19</v>
      </c>
      <c r="E206" s="1" t="s">
        <v>27</v>
      </c>
      <c r="F206">
        <v>38825.18</v>
      </c>
      <c r="G206" t="s">
        <v>124</v>
      </c>
      <c r="H206" s="2">
        <v>43696</v>
      </c>
      <c r="I206">
        <v>1</v>
      </c>
      <c r="J206" s="1" t="s">
        <v>132</v>
      </c>
      <c r="K206" s="1" t="s">
        <v>20</v>
      </c>
      <c r="L206">
        <v>6.9890410958904106</v>
      </c>
      <c r="M206" t="s">
        <v>92</v>
      </c>
    </row>
    <row r="207" spans="1:13" x14ac:dyDescent="0.3">
      <c r="A207" s="1" t="s">
        <v>592</v>
      </c>
      <c r="B207" s="1" t="s">
        <v>593</v>
      </c>
      <c r="C207" s="1" t="s">
        <v>594</v>
      </c>
      <c r="D207" s="1" t="s">
        <v>9</v>
      </c>
      <c r="E207" s="1" t="s">
        <v>43</v>
      </c>
      <c r="F207">
        <v>71229.42</v>
      </c>
      <c r="G207" t="s">
        <v>95</v>
      </c>
      <c r="H207" s="2">
        <v>44166</v>
      </c>
      <c r="I207">
        <v>1</v>
      </c>
      <c r="J207" s="1" t="s">
        <v>11</v>
      </c>
      <c r="K207" s="1" t="s">
        <v>15</v>
      </c>
      <c r="L207">
        <v>5.7013698630136984</v>
      </c>
      <c r="M207" t="s">
        <v>92</v>
      </c>
    </row>
    <row r="208" spans="1:13" x14ac:dyDescent="0.3">
      <c r="A208" s="1" t="s">
        <v>16</v>
      </c>
      <c r="B208" s="1" t="s">
        <v>304</v>
      </c>
      <c r="C208" s="1" t="s">
        <v>305</v>
      </c>
      <c r="D208" s="1" t="s">
        <v>9</v>
      </c>
      <c r="E208" s="1" t="s">
        <v>14</v>
      </c>
      <c r="F208">
        <v>80695.740000000005</v>
      </c>
      <c r="G208" t="s">
        <v>95</v>
      </c>
      <c r="H208" s="2">
        <v>43360</v>
      </c>
      <c r="I208">
        <v>1</v>
      </c>
      <c r="J208" s="1" t="s">
        <v>11</v>
      </c>
      <c r="K208" s="1" t="s">
        <v>17</v>
      </c>
      <c r="L208">
        <v>7.9095890410958907</v>
      </c>
      <c r="M208" t="s">
        <v>92</v>
      </c>
    </row>
    <row r="209" spans="1:13" x14ac:dyDescent="0.3">
      <c r="A209" s="1" t="s">
        <v>45</v>
      </c>
      <c r="B209" s="1" t="s">
        <v>595</v>
      </c>
      <c r="C209" s="1" t="s">
        <v>596</v>
      </c>
      <c r="D209" s="1" t="s">
        <v>9</v>
      </c>
      <c r="E209" s="1" t="s">
        <v>46</v>
      </c>
      <c r="F209">
        <v>72502.61</v>
      </c>
      <c r="G209" t="s">
        <v>95</v>
      </c>
      <c r="H209" s="2">
        <v>44235</v>
      </c>
      <c r="I209">
        <v>1</v>
      </c>
      <c r="J209" s="1" t="s">
        <v>11</v>
      </c>
      <c r="K209" s="1" t="s">
        <v>12</v>
      </c>
      <c r="L209">
        <v>5.5123287671232877</v>
      </c>
      <c r="M209" t="s">
        <v>92</v>
      </c>
    </row>
    <row r="210" spans="1:13" x14ac:dyDescent="0.3">
      <c r="A210" s="1" t="s">
        <v>597</v>
      </c>
      <c r="B210" s="1" t="s">
        <v>598</v>
      </c>
      <c r="C210" s="1" t="s">
        <v>599</v>
      </c>
      <c r="D210" s="1" t="s">
        <v>9</v>
      </c>
      <c r="E210" s="1" t="s">
        <v>46</v>
      </c>
      <c r="F210">
        <v>68197.899999999994</v>
      </c>
      <c r="G210" t="s">
        <v>95</v>
      </c>
      <c r="H210" s="2">
        <v>44119</v>
      </c>
      <c r="I210">
        <v>1</v>
      </c>
      <c r="J210" s="1" t="s">
        <v>11</v>
      </c>
      <c r="K210" s="1" t="s">
        <v>39</v>
      </c>
      <c r="L210">
        <v>5.8301369863013699</v>
      </c>
      <c r="M210" t="s">
        <v>92</v>
      </c>
    </row>
    <row r="211" spans="1:13" x14ac:dyDescent="0.3">
      <c r="A211" s="1" t="s">
        <v>600</v>
      </c>
      <c r="B211" s="1" t="s">
        <v>274</v>
      </c>
      <c r="C211" s="1" t="s">
        <v>117</v>
      </c>
      <c r="D211" s="1" t="s">
        <v>19</v>
      </c>
      <c r="E211" s="1" t="s">
        <v>46</v>
      </c>
      <c r="F211">
        <v>89960.6</v>
      </c>
      <c r="G211" t="s">
        <v>95</v>
      </c>
      <c r="H211" s="2">
        <v>43515</v>
      </c>
      <c r="I211">
        <v>1</v>
      </c>
      <c r="J211" s="1" t="s">
        <v>103</v>
      </c>
      <c r="K211" s="1" t="s">
        <v>39</v>
      </c>
      <c r="L211">
        <v>7.484931506849315</v>
      </c>
      <c r="M211" t="s">
        <v>92</v>
      </c>
    </row>
    <row r="212" spans="1:13" x14ac:dyDescent="0.3">
      <c r="A212" s="1" t="s">
        <v>471</v>
      </c>
      <c r="B212" s="1" t="s">
        <v>601</v>
      </c>
      <c r="C212" s="1" t="s">
        <v>602</v>
      </c>
      <c r="D212" s="1" t="s">
        <v>19</v>
      </c>
      <c r="E212" s="1" t="s">
        <v>25</v>
      </c>
      <c r="F212">
        <v>28481.16</v>
      </c>
      <c r="G212" t="s">
        <v>124</v>
      </c>
      <c r="H212" s="2">
        <v>43916</v>
      </c>
      <c r="I212">
        <v>1</v>
      </c>
      <c r="J212" s="1" t="s">
        <v>11</v>
      </c>
      <c r="K212" s="1" t="s">
        <v>15</v>
      </c>
      <c r="L212">
        <v>6.3863013698630136</v>
      </c>
      <c r="M212" t="s">
        <v>92</v>
      </c>
    </row>
    <row r="213" spans="1:13" x14ac:dyDescent="0.3">
      <c r="A213" s="1" t="s">
        <v>232</v>
      </c>
      <c r="B213" s="1" t="s">
        <v>603</v>
      </c>
      <c r="C213" s="1" t="s">
        <v>604</v>
      </c>
      <c r="D213" s="1" t="s">
        <v>9</v>
      </c>
      <c r="E213" s="1" t="s">
        <v>10</v>
      </c>
      <c r="F213">
        <v>116767.63</v>
      </c>
      <c r="G213" t="s">
        <v>91</v>
      </c>
      <c r="H213" s="2">
        <v>43949</v>
      </c>
      <c r="I213">
        <v>0.4</v>
      </c>
      <c r="J213" s="1" t="s">
        <v>132</v>
      </c>
      <c r="K213" s="1" t="s">
        <v>35</v>
      </c>
      <c r="L213">
        <v>6.2958904109589042</v>
      </c>
      <c r="M213" t="s">
        <v>96</v>
      </c>
    </row>
    <row r="214" spans="1:13" x14ac:dyDescent="0.3">
      <c r="A214" s="1" t="s">
        <v>605</v>
      </c>
      <c r="B214" s="1" t="s">
        <v>606</v>
      </c>
      <c r="C214" s="1" t="s">
        <v>607</v>
      </c>
      <c r="D214" s="1" t="s">
        <v>19</v>
      </c>
      <c r="E214" s="1" t="s">
        <v>46</v>
      </c>
      <c r="F214">
        <v>80360.41</v>
      </c>
      <c r="G214" t="s">
        <v>95</v>
      </c>
      <c r="H214" s="2">
        <v>44167</v>
      </c>
      <c r="I214">
        <v>1</v>
      </c>
      <c r="J214" s="1" t="s">
        <v>11</v>
      </c>
      <c r="K214" s="1" t="s">
        <v>20</v>
      </c>
      <c r="L214">
        <v>5.6986301369863011</v>
      </c>
      <c r="M214" t="s">
        <v>92</v>
      </c>
    </row>
    <row r="215" spans="1:13" x14ac:dyDescent="0.3">
      <c r="A215" s="1" t="s">
        <v>81</v>
      </c>
      <c r="B215" s="1" t="s">
        <v>608</v>
      </c>
      <c r="C215" s="1" t="s">
        <v>609</v>
      </c>
      <c r="D215" s="1" t="s">
        <v>9</v>
      </c>
      <c r="E215" s="1" t="s">
        <v>58</v>
      </c>
      <c r="F215">
        <v>77045.440000000002</v>
      </c>
      <c r="G215" t="s">
        <v>95</v>
      </c>
      <c r="H215" s="2">
        <v>43636</v>
      </c>
      <c r="I215">
        <v>1</v>
      </c>
      <c r="J215" s="1" t="s">
        <v>11</v>
      </c>
      <c r="K215" s="1" t="s">
        <v>20</v>
      </c>
      <c r="L215">
        <v>7.1534246575342468</v>
      </c>
      <c r="M215" t="s">
        <v>92</v>
      </c>
    </row>
    <row r="216" spans="1:13" x14ac:dyDescent="0.3">
      <c r="A216" s="1" t="s">
        <v>8</v>
      </c>
      <c r="B216" s="1" t="s">
        <v>610</v>
      </c>
      <c r="C216" s="1" t="s">
        <v>117</v>
      </c>
      <c r="D216" s="1" t="s">
        <v>9</v>
      </c>
      <c r="E216" s="1" t="s">
        <v>10</v>
      </c>
      <c r="F216">
        <v>96135.75</v>
      </c>
      <c r="G216" t="s">
        <v>95</v>
      </c>
      <c r="H216" s="2">
        <v>44025</v>
      </c>
      <c r="I216">
        <v>0.3</v>
      </c>
      <c r="J216" s="1" t="s">
        <v>11</v>
      </c>
      <c r="K216" s="1" t="s">
        <v>12</v>
      </c>
      <c r="L216">
        <v>6.087671232876712</v>
      </c>
      <c r="M216" t="s">
        <v>96</v>
      </c>
    </row>
    <row r="217" spans="1:13" x14ac:dyDescent="0.3">
      <c r="A217" s="1" t="s">
        <v>611</v>
      </c>
      <c r="B217" s="1" t="s">
        <v>612</v>
      </c>
      <c r="C217" s="1" t="s">
        <v>613</v>
      </c>
      <c r="D217" s="1" t="s">
        <v>9</v>
      </c>
      <c r="E217" s="1" t="s">
        <v>58</v>
      </c>
      <c r="F217">
        <v>102129.37</v>
      </c>
      <c r="G217" t="s">
        <v>91</v>
      </c>
      <c r="H217" s="2">
        <v>44396</v>
      </c>
      <c r="I217">
        <v>1</v>
      </c>
      <c r="J217" s="1" t="s">
        <v>11</v>
      </c>
      <c r="K217" s="1" t="s">
        <v>17</v>
      </c>
      <c r="L217">
        <v>5.0712328767123287</v>
      </c>
      <c r="M217" t="s">
        <v>92</v>
      </c>
    </row>
    <row r="218" spans="1:13" x14ac:dyDescent="0.3">
      <c r="A218" s="1" t="s">
        <v>614</v>
      </c>
      <c r="B218" s="1" t="s">
        <v>615</v>
      </c>
      <c r="C218" s="1" t="s">
        <v>616</v>
      </c>
      <c r="D218" s="1" t="s">
        <v>9</v>
      </c>
      <c r="E218" s="1" t="s">
        <v>10</v>
      </c>
      <c r="F218">
        <v>99965.97</v>
      </c>
      <c r="G218" t="s">
        <v>95</v>
      </c>
      <c r="H218" s="2">
        <v>43133</v>
      </c>
      <c r="I218">
        <v>1</v>
      </c>
      <c r="J218" s="1" t="s">
        <v>11</v>
      </c>
      <c r="K218" s="1" t="s">
        <v>20</v>
      </c>
      <c r="L218">
        <v>8.5315068493150683</v>
      </c>
      <c r="M218" t="s">
        <v>92</v>
      </c>
    </row>
    <row r="219" spans="1:13" x14ac:dyDescent="0.3">
      <c r="A219" s="1" t="s">
        <v>617</v>
      </c>
      <c r="B219" s="1" t="s">
        <v>618</v>
      </c>
      <c r="C219" s="1" t="s">
        <v>619</v>
      </c>
      <c r="D219" s="1" t="s">
        <v>9</v>
      </c>
      <c r="E219" s="1" t="s">
        <v>46</v>
      </c>
      <c r="F219">
        <v>49625.64</v>
      </c>
      <c r="G219" t="s">
        <v>124</v>
      </c>
      <c r="H219" s="2">
        <v>44384</v>
      </c>
      <c r="I219">
        <v>0.5</v>
      </c>
      <c r="J219" s="1" t="s">
        <v>103</v>
      </c>
      <c r="K219" s="1" t="s">
        <v>20</v>
      </c>
      <c r="L219">
        <v>5.1041095890410961</v>
      </c>
      <c r="M219" t="s">
        <v>96</v>
      </c>
    </row>
    <row r="220" spans="1:13" x14ac:dyDescent="0.3">
      <c r="A220" s="1" t="s">
        <v>620</v>
      </c>
      <c r="B220" s="1" t="s">
        <v>621</v>
      </c>
      <c r="C220" s="1" t="s">
        <v>622</v>
      </c>
      <c r="D220" s="1" t="s">
        <v>9</v>
      </c>
      <c r="E220" s="1" t="s">
        <v>41</v>
      </c>
      <c r="F220">
        <v>94815.28</v>
      </c>
      <c r="G220" t="s">
        <v>95</v>
      </c>
      <c r="H220" s="2">
        <v>43440</v>
      </c>
      <c r="I220">
        <v>1</v>
      </c>
      <c r="J220" s="1" t="s">
        <v>11</v>
      </c>
      <c r="K220" s="1" t="s">
        <v>37</v>
      </c>
      <c r="L220">
        <v>7.6904109589041099</v>
      </c>
      <c r="M220" t="s">
        <v>92</v>
      </c>
    </row>
    <row r="221" spans="1:13" x14ac:dyDescent="0.3">
      <c r="A221" s="1" t="s">
        <v>66</v>
      </c>
      <c r="B221" s="1" t="s">
        <v>623</v>
      </c>
      <c r="C221" s="1" t="s">
        <v>624</v>
      </c>
      <c r="D221" s="1" t="s">
        <v>19</v>
      </c>
      <c r="E221" s="1" t="s">
        <v>54</v>
      </c>
      <c r="F221">
        <v>36714.379999999997</v>
      </c>
      <c r="G221" t="s">
        <v>124</v>
      </c>
      <c r="H221" s="2">
        <v>44175</v>
      </c>
      <c r="I221">
        <v>1</v>
      </c>
      <c r="J221" s="1" t="s">
        <v>11</v>
      </c>
      <c r="K221" s="1" t="s">
        <v>35</v>
      </c>
      <c r="L221">
        <v>5.6767123287671231</v>
      </c>
      <c r="M221" t="s">
        <v>92</v>
      </c>
    </row>
    <row r="222" spans="1:13" x14ac:dyDescent="0.3">
      <c r="A222" s="1" t="s">
        <v>21</v>
      </c>
      <c r="B222" s="1" t="s">
        <v>625</v>
      </c>
      <c r="C222" s="1" t="s">
        <v>626</v>
      </c>
      <c r="D222" s="1" t="s">
        <v>9</v>
      </c>
      <c r="E222" s="1" t="s">
        <v>22</v>
      </c>
      <c r="F222">
        <v>67905.8</v>
      </c>
      <c r="G222" t="s">
        <v>95</v>
      </c>
      <c r="H222" s="2">
        <v>44194</v>
      </c>
      <c r="I222">
        <v>1</v>
      </c>
      <c r="J222" s="1" t="s">
        <v>11</v>
      </c>
      <c r="K222" s="1" t="s">
        <v>20</v>
      </c>
      <c r="L222">
        <v>5.624657534246575</v>
      </c>
      <c r="M222" t="s">
        <v>92</v>
      </c>
    </row>
    <row r="223" spans="1:13" x14ac:dyDescent="0.3">
      <c r="A223" s="1" t="s">
        <v>627</v>
      </c>
      <c r="B223" s="1" t="s">
        <v>628</v>
      </c>
      <c r="C223" s="1" t="s">
        <v>629</v>
      </c>
      <c r="D223" s="1" t="s">
        <v>19</v>
      </c>
      <c r="E223" s="1" t="s">
        <v>31</v>
      </c>
      <c r="F223">
        <v>69862.38</v>
      </c>
      <c r="G223" t="s">
        <v>95</v>
      </c>
      <c r="H223" s="2">
        <v>43458</v>
      </c>
      <c r="I223">
        <v>1</v>
      </c>
      <c r="J223" s="1" t="s">
        <v>11</v>
      </c>
      <c r="K223" s="1" t="s">
        <v>12</v>
      </c>
      <c r="L223">
        <v>7.6410958904109592</v>
      </c>
      <c r="M223" t="s">
        <v>92</v>
      </c>
    </row>
    <row r="224" spans="1:13" x14ac:dyDescent="0.3">
      <c r="A224" s="1" t="s">
        <v>50</v>
      </c>
      <c r="B224" s="1" t="s">
        <v>117</v>
      </c>
      <c r="C224" s="1" t="s">
        <v>402</v>
      </c>
      <c r="D224" s="1" t="s">
        <v>19</v>
      </c>
      <c r="E224" s="1" t="s">
        <v>27</v>
      </c>
      <c r="F224">
        <v>36547.58</v>
      </c>
      <c r="G224" t="s">
        <v>124</v>
      </c>
      <c r="H224" s="2">
        <v>43416</v>
      </c>
      <c r="I224">
        <v>1</v>
      </c>
      <c r="J224" s="1" t="s">
        <v>11</v>
      </c>
      <c r="K224" s="1" t="s">
        <v>20</v>
      </c>
      <c r="L224">
        <v>7.7561643835616438</v>
      </c>
      <c r="M224" t="s">
        <v>92</v>
      </c>
    </row>
    <row r="225" spans="1:13" x14ac:dyDescent="0.3">
      <c r="A225" s="1" t="s">
        <v>630</v>
      </c>
      <c r="B225" s="1" t="s">
        <v>631</v>
      </c>
      <c r="C225" s="1" t="s">
        <v>632</v>
      </c>
      <c r="D225" s="1" t="s">
        <v>19</v>
      </c>
      <c r="E225" s="1" t="s">
        <v>14</v>
      </c>
      <c r="F225">
        <v>106400.02</v>
      </c>
      <c r="G225" t="s">
        <v>91</v>
      </c>
      <c r="H225" s="2">
        <v>44021</v>
      </c>
      <c r="I225">
        <v>1</v>
      </c>
      <c r="J225" s="1" t="s">
        <v>132</v>
      </c>
      <c r="K225" s="1" t="s">
        <v>35</v>
      </c>
      <c r="L225">
        <v>6.0986301369863014</v>
      </c>
      <c r="M225" t="s">
        <v>92</v>
      </c>
    </row>
    <row r="226" spans="1:13" x14ac:dyDescent="0.3">
      <c r="A226" s="1" t="s">
        <v>633</v>
      </c>
      <c r="B226" s="1" t="s">
        <v>634</v>
      </c>
      <c r="C226" s="1" t="s">
        <v>635</v>
      </c>
      <c r="D226" s="1" t="s">
        <v>19</v>
      </c>
      <c r="E226" s="1" t="s">
        <v>31</v>
      </c>
      <c r="F226">
        <v>103494.94</v>
      </c>
      <c r="G226" t="s">
        <v>91</v>
      </c>
      <c r="H226" s="2">
        <v>43256</v>
      </c>
      <c r="I226">
        <v>1</v>
      </c>
      <c r="J226" s="1" t="s">
        <v>11</v>
      </c>
      <c r="K226" s="1" t="s">
        <v>20</v>
      </c>
      <c r="L226">
        <v>8.1945205479452063</v>
      </c>
      <c r="M226" t="s">
        <v>92</v>
      </c>
    </row>
    <row r="227" spans="1:13" x14ac:dyDescent="0.3">
      <c r="A227" s="1" t="s">
        <v>495</v>
      </c>
      <c r="B227" s="1" t="s">
        <v>496</v>
      </c>
      <c r="C227" s="1" t="s">
        <v>117</v>
      </c>
      <c r="D227" s="1" t="s">
        <v>19</v>
      </c>
      <c r="E227" s="1" t="s">
        <v>58</v>
      </c>
      <c r="F227">
        <v>96753.78</v>
      </c>
      <c r="G227" t="s">
        <v>95</v>
      </c>
      <c r="H227" s="2">
        <v>44494</v>
      </c>
      <c r="I227">
        <v>1</v>
      </c>
      <c r="J227" s="1" t="s">
        <v>11</v>
      </c>
      <c r="K227" s="1" t="s">
        <v>39</v>
      </c>
      <c r="L227">
        <v>4.8027397260273972</v>
      </c>
      <c r="M227" t="s">
        <v>92</v>
      </c>
    </row>
    <row r="228" spans="1:13" x14ac:dyDescent="0.3">
      <c r="A228" s="1" t="s">
        <v>16</v>
      </c>
      <c r="B228" s="1" t="s">
        <v>304</v>
      </c>
      <c r="C228" s="1" t="s">
        <v>305</v>
      </c>
      <c r="D228" s="1" t="s">
        <v>9</v>
      </c>
      <c r="E228" s="1" t="s">
        <v>14</v>
      </c>
      <c r="F228">
        <v>80695.740000000005</v>
      </c>
      <c r="G228" t="s">
        <v>95</v>
      </c>
      <c r="H228" s="2">
        <v>43360</v>
      </c>
      <c r="I228">
        <v>1</v>
      </c>
      <c r="J228" s="1" t="s">
        <v>11</v>
      </c>
      <c r="K228" s="1" t="s">
        <v>17</v>
      </c>
      <c r="L228">
        <v>7.9095890410958907</v>
      </c>
      <c r="M228" t="s">
        <v>92</v>
      </c>
    </row>
    <row r="229" spans="1:13" x14ac:dyDescent="0.3">
      <c r="A229" s="1" t="s">
        <v>636</v>
      </c>
      <c r="B229" s="1" t="s">
        <v>637</v>
      </c>
      <c r="C229" s="1" t="s">
        <v>638</v>
      </c>
      <c r="D229" s="1" t="s">
        <v>9</v>
      </c>
      <c r="E229" s="1" t="s">
        <v>25</v>
      </c>
      <c r="F229">
        <v>61213.01</v>
      </c>
      <c r="G229" t="s">
        <v>95</v>
      </c>
      <c r="H229" s="2">
        <v>44365</v>
      </c>
      <c r="I229">
        <v>1</v>
      </c>
      <c r="J229" s="1" t="s">
        <v>11</v>
      </c>
      <c r="K229" s="1" t="s">
        <v>35</v>
      </c>
      <c r="L229">
        <v>5.1561643835616442</v>
      </c>
      <c r="M229" t="s">
        <v>92</v>
      </c>
    </row>
    <row r="230" spans="1:13" x14ac:dyDescent="0.3">
      <c r="A230" s="1" t="s">
        <v>639</v>
      </c>
      <c r="B230" s="1" t="s">
        <v>640</v>
      </c>
      <c r="C230" s="1" t="s">
        <v>641</v>
      </c>
      <c r="D230" s="1" t="s">
        <v>19</v>
      </c>
      <c r="E230" s="1" t="s">
        <v>33</v>
      </c>
      <c r="F230">
        <v>69709.509999999995</v>
      </c>
      <c r="G230" t="s">
        <v>95</v>
      </c>
      <c r="H230" s="2">
        <v>43472</v>
      </c>
      <c r="I230">
        <v>1</v>
      </c>
      <c r="J230" s="1" t="s">
        <v>11</v>
      </c>
      <c r="K230" s="1" t="s">
        <v>15</v>
      </c>
      <c r="L230">
        <v>7.602739726027397</v>
      </c>
      <c r="M230" t="s">
        <v>92</v>
      </c>
    </row>
    <row r="231" spans="1:13" x14ac:dyDescent="0.3">
      <c r="A231" s="1" t="s">
        <v>642</v>
      </c>
      <c r="B231" s="1" t="s">
        <v>643</v>
      </c>
      <c r="C231" s="1" t="s">
        <v>644</v>
      </c>
      <c r="D231" s="1" t="s">
        <v>9</v>
      </c>
      <c r="E231" s="1" t="s">
        <v>33</v>
      </c>
      <c r="F231">
        <v>46751.7</v>
      </c>
      <c r="G231" t="s">
        <v>124</v>
      </c>
      <c r="H231" s="2">
        <v>43843</v>
      </c>
      <c r="I231">
        <v>1</v>
      </c>
      <c r="J231" s="1" t="s">
        <v>103</v>
      </c>
      <c r="K231" s="1" t="s">
        <v>15</v>
      </c>
      <c r="L231">
        <v>6.5863013698630137</v>
      </c>
      <c r="M231" t="s">
        <v>92</v>
      </c>
    </row>
    <row r="232" spans="1:13" x14ac:dyDescent="0.3">
      <c r="A232" s="1" t="s">
        <v>47</v>
      </c>
      <c r="B232" s="1" t="s">
        <v>645</v>
      </c>
      <c r="C232" s="1" t="s">
        <v>646</v>
      </c>
      <c r="D232" s="1" t="s">
        <v>19</v>
      </c>
      <c r="E232" s="1" t="s">
        <v>43</v>
      </c>
      <c r="F232">
        <v>77096.05</v>
      </c>
      <c r="G232" t="s">
        <v>95</v>
      </c>
      <c r="H232" s="2">
        <v>43217</v>
      </c>
      <c r="I232">
        <v>1</v>
      </c>
      <c r="J232" s="1" t="s">
        <v>11</v>
      </c>
      <c r="K232" s="1" t="s">
        <v>35</v>
      </c>
      <c r="L232">
        <v>8.3013698630136989</v>
      </c>
      <c r="M232" t="s">
        <v>92</v>
      </c>
    </row>
    <row r="233" spans="1:13" x14ac:dyDescent="0.3">
      <c r="A233" s="1" t="s">
        <v>214</v>
      </c>
      <c r="B233" s="1" t="s">
        <v>215</v>
      </c>
      <c r="C233" s="1" t="s">
        <v>216</v>
      </c>
      <c r="D233" s="1" t="s">
        <v>9</v>
      </c>
      <c r="E233" s="1" t="s">
        <v>46</v>
      </c>
      <c r="F233">
        <v>67818.14</v>
      </c>
      <c r="G233" t="s">
        <v>95</v>
      </c>
      <c r="H233" s="2">
        <v>43406</v>
      </c>
      <c r="I233">
        <v>0.6</v>
      </c>
      <c r="J233" s="1" t="s">
        <v>103</v>
      </c>
      <c r="K233" s="1" t="s">
        <v>20</v>
      </c>
      <c r="L233">
        <v>7.7835616438356166</v>
      </c>
      <c r="M233" t="s">
        <v>96</v>
      </c>
    </row>
    <row r="234" spans="1:13" x14ac:dyDescent="0.3">
      <c r="A234" s="1" t="s">
        <v>647</v>
      </c>
      <c r="B234" s="1" t="s">
        <v>648</v>
      </c>
      <c r="C234" s="1" t="s">
        <v>649</v>
      </c>
      <c r="D234" s="1" t="s">
        <v>19</v>
      </c>
      <c r="E234" s="1" t="s">
        <v>46</v>
      </c>
      <c r="F234">
        <v>77743.149999999994</v>
      </c>
      <c r="G234" t="s">
        <v>95</v>
      </c>
      <c r="H234" s="2">
        <v>43920</v>
      </c>
      <c r="I234">
        <v>1</v>
      </c>
      <c r="J234" s="1" t="s">
        <v>11</v>
      </c>
      <c r="K234" s="1" t="s">
        <v>35</v>
      </c>
      <c r="L234">
        <v>6.375342465753425</v>
      </c>
      <c r="M234" t="s">
        <v>92</v>
      </c>
    </row>
    <row r="235" spans="1:13" x14ac:dyDescent="0.3">
      <c r="A235" s="1" t="s">
        <v>49</v>
      </c>
      <c r="B235" s="1" t="s">
        <v>650</v>
      </c>
      <c r="C235" s="1" t="s">
        <v>651</v>
      </c>
      <c r="D235" s="1" t="s">
        <v>19</v>
      </c>
      <c r="E235" s="1" t="s">
        <v>31</v>
      </c>
      <c r="F235">
        <v>48525.71</v>
      </c>
      <c r="G235" t="s">
        <v>124</v>
      </c>
      <c r="H235" s="2">
        <v>43264</v>
      </c>
      <c r="I235">
        <v>1</v>
      </c>
      <c r="J235" s="1" t="s">
        <v>11</v>
      </c>
      <c r="K235" s="1" t="s">
        <v>15</v>
      </c>
      <c r="L235">
        <v>8.1726027397260275</v>
      </c>
      <c r="M235" t="s">
        <v>92</v>
      </c>
    </row>
    <row r="236" spans="1:13" x14ac:dyDescent="0.3">
      <c r="A236" s="1" t="s">
        <v>633</v>
      </c>
      <c r="B236" s="1" t="s">
        <v>634</v>
      </c>
      <c r="C236" s="1" t="s">
        <v>635</v>
      </c>
      <c r="D236" s="1" t="s">
        <v>19</v>
      </c>
      <c r="E236" s="1" t="s">
        <v>31</v>
      </c>
      <c r="F236">
        <v>103494.94</v>
      </c>
      <c r="G236" t="s">
        <v>91</v>
      </c>
      <c r="H236" s="2">
        <v>43256</v>
      </c>
      <c r="I236">
        <v>1</v>
      </c>
      <c r="J236" s="1" t="s">
        <v>11</v>
      </c>
      <c r="K236" s="1" t="s">
        <v>20</v>
      </c>
      <c r="L236">
        <v>8.1945205479452063</v>
      </c>
      <c r="M236" t="s">
        <v>92</v>
      </c>
    </row>
    <row r="237" spans="1:13" x14ac:dyDescent="0.3">
      <c r="A237" s="1" t="s">
        <v>630</v>
      </c>
      <c r="B237" s="1" t="s">
        <v>652</v>
      </c>
      <c r="C237" s="1" t="s">
        <v>653</v>
      </c>
      <c r="D237" s="1" t="s">
        <v>19</v>
      </c>
      <c r="E237" s="1" t="s">
        <v>14</v>
      </c>
      <c r="F237">
        <v>106400.02</v>
      </c>
      <c r="G237" t="s">
        <v>91</v>
      </c>
      <c r="H237" s="2">
        <v>44021</v>
      </c>
      <c r="I237">
        <v>1</v>
      </c>
      <c r="J237" s="1" t="s">
        <v>132</v>
      </c>
      <c r="K237" s="1" t="s">
        <v>35</v>
      </c>
      <c r="L237">
        <v>6.0986301369863014</v>
      </c>
      <c r="M237" t="s">
        <v>92</v>
      </c>
    </row>
    <row r="238" spans="1:13" x14ac:dyDescent="0.3">
      <c r="A238" s="1" t="s">
        <v>654</v>
      </c>
      <c r="B238" s="1" t="s">
        <v>655</v>
      </c>
      <c r="C238" s="1" t="s">
        <v>656</v>
      </c>
      <c r="D238" s="1" t="s">
        <v>19</v>
      </c>
      <c r="E238" s="1" t="s">
        <v>31</v>
      </c>
      <c r="F238">
        <v>65569.36</v>
      </c>
      <c r="G238" t="s">
        <v>95</v>
      </c>
      <c r="H238" s="2">
        <v>43293</v>
      </c>
      <c r="I238">
        <v>1</v>
      </c>
      <c r="J238" s="1" t="s">
        <v>103</v>
      </c>
      <c r="K238" s="1" t="s">
        <v>39</v>
      </c>
      <c r="L238">
        <v>8.0931506849315067</v>
      </c>
      <c r="M238" t="s">
        <v>92</v>
      </c>
    </row>
    <row r="239" spans="1:13" x14ac:dyDescent="0.3">
      <c r="A239" s="1" t="s">
        <v>420</v>
      </c>
      <c r="B239" s="1" t="s">
        <v>657</v>
      </c>
      <c r="C239" s="1" t="s">
        <v>658</v>
      </c>
      <c r="D239" s="1" t="s">
        <v>19</v>
      </c>
      <c r="E239" s="1" t="s">
        <v>46</v>
      </c>
      <c r="F239">
        <v>40445.29</v>
      </c>
      <c r="G239" t="s">
        <v>124</v>
      </c>
      <c r="H239" s="2">
        <v>44393</v>
      </c>
      <c r="I239">
        <v>1</v>
      </c>
      <c r="J239" s="1" t="s">
        <v>11</v>
      </c>
      <c r="K239" s="1" t="s">
        <v>35</v>
      </c>
      <c r="L239">
        <v>5.0794520547945208</v>
      </c>
      <c r="M239" t="s">
        <v>92</v>
      </c>
    </row>
    <row r="240" spans="1:13" x14ac:dyDescent="0.3">
      <c r="A240" s="1" t="s">
        <v>659</v>
      </c>
      <c r="B240" s="1" t="s">
        <v>660</v>
      </c>
      <c r="C240" s="1" t="s">
        <v>661</v>
      </c>
      <c r="D240" s="1" t="s">
        <v>9</v>
      </c>
      <c r="E240" s="1" t="s">
        <v>41</v>
      </c>
      <c r="F240">
        <v>114772.32</v>
      </c>
      <c r="G240" t="s">
        <v>91</v>
      </c>
      <c r="H240" s="2">
        <v>44251</v>
      </c>
      <c r="I240">
        <v>1</v>
      </c>
      <c r="J240" s="1" t="s">
        <v>11</v>
      </c>
      <c r="K240" s="1" t="s">
        <v>17</v>
      </c>
      <c r="L240">
        <v>5.4684931506849317</v>
      </c>
      <c r="M240" t="s">
        <v>92</v>
      </c>
    </row>
    <row r="241" spans="1:13" x14ac:dyDescent="0.3">
      <c r="A241" s="1" t="s">
        <v>662</v>
      </c>
      <c r="B241" s="1" t="s">
        <v>663</v>
      </c>
      <c r="C241" s="1" t="s">
        <v>664</v>
      </c>
      <c r="D241" s="1" t="s">
        <v>9</v>
      </c>
      <c r="E241" s="1" t="s">
        <v>10</v>
      </c>
      <c r="F241">
        <v>56253.81</v>
      </c>
      <c r="G241" t="s">
        <v>95</v>
      </c>
      <c r="H241" s="2">
        <v>44421</v>
      </c>
      <c r="I241">
        <v>1</v>
      </c>
      <c r="J241" s="1" t="s">
        <v>11</v>
      </c>
      <c r="K241" s="1" t="s">
        <v>39</v>
      </c>
      <c r="L241">
        <v>5.0027397260273974</v>
      </c>
      <c r="M241" t="s">
        <v>92</v>
      </c>
    </row>
    <row r="242" spans="1:13" x14ac:dyDescent="0.3">
      <c r="A242" s="1" t="s">
        <v>665</v>
      </c>
      <c r="B242" s="1" t="s">
        <v>666</v>
      </c>
      <c r="C242" s="1" t="s">
        <v>667</v>
      </c>
      <c r="D242" s="1" t="s">
        <v>9</v>
      </c>
      <c r="E242" s="1" t="s">
        <v>46</v>
      </c>
      <c r="F242">
        <v>51798.25</v>
      </c>
      <c r="G242" t="s">
        <v>95</v>
      </c>
      <c r="H242" s="2">
        <v>43665</v>
      </c>
      <c r="I242">
        <v>1</v>
      </c>
      <c r="J242" s="1" t="s">
        <v>11</v>
      </c>
      <c r="K242" s="1" t="s">
        <v>15</v>
      </c>
      <c r="L242">
        <v>7.0739726027397261</v>
      </c>
      <c r="M242" t="s">
        <v>92</v>
      </c>
    </row>
    <row r="243" spans="1:13" x14ac:dyDescent="0.3">
      <c r="A243" s="1" t="s">
        <v>668</v>
      </c>
      <c r="B243" s="1" t="s">
        <v>669</v>
      </c>
      <c r="C243" s="1" t="s">
        <v>117</v>
      </c>
      <c r="D243" s="1" t="s">
        <v>19</v>
      </c>
      <c r="E243" s="1" t="s">
        <v>31</v>
      </c>
      <c r="F243">
        <v>28329.77</v>
      </c>
      <c r="G243" t="s">
        <v>124</v>
      </c>
      <c r="H243" s="2">
        <v>43402</v>
      </c>
      <c r="I243">
        <v>1</v>
      </c>
      <c r="J243" s="1" t="s">
        <v>11</v>
      </c>
      <c r="K243" s="1" t="s">
        <v>37</v>
      </c>
      <c r="L243">
        <v>7.7945205479452051</v>
      </c>
      <c r="M243" t="s">
        <v>92</v>
      </c>
    </row>
    <row r="244" spans="1:13" x14ac:dyDescent="0.3">
      <c r="A244" s="1" t="s">
        <v>670</v>
      </c>
      <c r="B244" s="1" t="s">
        <v>671</v>
      </c>
      <c r="C244" s="1" t="s">
        <v>672</v>
      </c>
      <c r="D244" s="1" t="s">
        <v>9</v>
      </c>
      <c r="E244" s="1" t="s">
        <v>10</v>
      </c>
      <c r="F244">
        <v>93964.3</v>
      </c>
      <c r="G244" t="s">
        <v>95</v>
      </c>
      <c r="H244" s="2">
        <v>44454</v>
      </c>
      <c r="I244">
        <v>0.4</v>
      </c>
      <c r="J244" s="1" t="s">
        <v>103</v>
      </c>
      <c r="K244" s="1" t="s">
        <v>15</v>
      </c>
      <c r="L244">
        <v>4.912328767123288</v>
      </c>
      <c r="M244" t="s">
        <v>96</v>
      </c>
    </row>
    <row r="245" spans="1:13" x14ac:dyDescent="0.3">
      <c r="A245" s="1" t="s">
        <v>673</v>
      </c>
      <c r="B245" s="1" t="s">
        <v>173</v>
      </c>
      <c r="C245" s="1" t="s">
        <v>674</v>
      </c>
      <c r="D245" s="1" t="s">
        <v>19</v>
      </c>
      <c r="E245" s="1" t="s">
        <v>14</v>
      </c>
      <c r="F245">
        <v>90884.32</v>
      </c>
      <c r="G245" t="s">
        <v>95</v>
      </c>
      <c r="H245" s="2">
        <v>44039</v>
      </c>
      <c r="I245">
        <v>0.5</v>
      </c>
      <c r="J245" s="1" t="s">
        <v>11</v>
      </c>
      <c r="K245" s="1" t="s">
        <v>17</v>
      </c>
      <c r="L245">
        <v>6.0493150684931507</v>
      </c>
      <c r="M245" t="s">
        <v>96</v>
      </c>
    </row>
    <row r="246" spans="1:13" x14ac:dyDescent="0.3">
      <c r="A246" s="1" t="s">
        <v>42</v>
      </c>
      <c r="B246" s="1" t="s">
        <v>675</v>
      </c>
      <c r="C246" s="1" t="s">
        <v>676</v>
      </c>
      <c r="D246" s="1" t="s">
        <v>19</v>
      </c>
      <c r="E246" s="1" t="s">
        <v>43</v>
      </c>
      <c r="F246">
        <v>84742.86</v>
      </c>
      <c r="G246" t="s">
        <v>95</v>
      </c>
      <c r="H246" s="2">
        <v>44098</v>
      </c>
      <c r="I246">
        <v>1</v>
      </c>
      <c r="J246" s="1" t="s">
        <v>11</v>
      </c>
      <c r="K246" s="1" t="s">
        <v>39</v>
      </c>
      <c r="L246">
        <v>5.8876712328767127</v>
      </c>
      <c r="M246" t="s">
        <v>92</v>
      </c>
    </row>
    <row r="247" spans="1:13" x14ac:dyDescent="0.3">
      <c r="A247" s="1" t="s">
        <v>677</v>
      </c>
      <c r="B247" s="1" t="s">
        <v>678</v>
      </c>
      <c r="C247" s="1" t="s">
        <v>679</v>
      </c>
      <c r="D247" s="1" t="s">
        <v>19</v>
      </c>
      <c r="E247" s="1" t="s">
        <v>58</v>
      </c>
      <c r="F247">
        <v>80772.92</v>
      </c>
      <c r="G247" t="s">
        <v>95</v>
      </c>
      <c r="H247" s="2">
        <v>44137</v>
      </c>
      <c r="I247">
        <v>1</v>
      </c>
      <c r="J247" s="1" t="s">
        <v>132</v>
      </c>
      <c r="K247" s="1" t="s">
        <v>20</v>
      </c>
      <c r="L247">
        <v>5.7808219178082192</v>
      </c>
      <c r="M247" t="s">
        <v>92</v>
      </c>
    </row>
    <row r="248" spans="1:13" x14ac:dyDescent="0.3">
      <c r="A248" s="1" t="s">
        <v>680</v>
      </c>
      <c r="B248" s="1" t="s">
        <v>681</v>
      </c>
      <c r="C248" s="1" t="s">
        <v>682</v>
      </c>
      <c r="D248" s="1" t="s">
        <v>9</v>
      </c>
      <c r="E248" s="1" t="s">
        <v>31</v>
      </c>
      <c r="F248">
        <v>85264.38</v>
      </c>
      <c r="G248" t="s">
        <v>95</v>
      </c>
      <c r="H248" s="2">
        <v>43220</v>
      </c>
      <c r="I248">
        <v>1</v>
      </c>
      <c r="J248" s="1" t="s">
        <v>11</v>
      </c>
      <c r="K248" s="1" t="s">
        <v>35</v>
      </c>
      <c r="L248">
        <v>8.293150684931506</v>
      </c>
      <c r="M248" t="s">
        <v>92</v>
      </c>
    </row>
    <row r="249" spans="1:13" x14ac:dyDescent="0.3">
      <c r="A249" s="1" t="s">
        <v>271</v>
      </c>
      <c r="B249" s="1" t="s">
        <v>272</v>
      </c>
      <c r="C249" s="1" t="s">
        <v>273</v>
      </c>
      <c r="D249" s="1" t="s">
        <v>19</v>
      </c>
      <c r="E249" s="1" t="s">
        <v>25</v>
      </c>
      <c r="F249">
        <v>113747.56</v>
      </c>
      <c r="G249" t="s">
        <v>91</v>
      </c>
      <c r="H249" s="2">
        <v>44270</v>
      </c>
      <c r="I249">
        <v>0.7</v>
      </c>
      <c r="J249" s="1" t="s">
        <v>132</v>
      </c>
      <c r="K249" s="1" t="s">
        <v>17</v>
      </c>
      <c r="L249">
        <v>5.4164383561643836</v>
      </c>
      <c r="M249" t="s">
        <v>96</v>
      </c>
    </row>
    <row r="250" spans="1:13" x14ac:dyDescent="0.3">
      <c r="A250" s="1" t="s">
        <v>61</v>
      </c>
      <c r="B250" s="1" t="s">
        <v>683</v>
      </c>
      <c r="C250" s="1" t="s">
        <v>684</v>
      </c>
      <c r="D250" s="1" t="s">
        <v>9</v>
      </c>
      <c r="E250" s="1" t="s">
        <v>41</v>
      </c>
      <c r="F250">
        <v>78378.2</v>
      </c>
      <c r="G250" t="s">
        <v>95</v>
      </c>
      <c r="H250" s="2">
        <v>43465</v>
      </c>
      <c r="I250">
        <v>0.4</v>
      </c>
      <c r="J250" s="1" t="s">
        <v>11</v>
      </c>
      <c r="K250" s="1" t="s">
        <v>20</v>
      </c>
      <c r="L250">
        <v>7.6219178082191785</v>
      </c>
      <c r="M250" t="s">
        <v>96</v>
      </c>
    </row>
    <row r="251" spans="1:13" x14ac:dyDescent="0.3">
      <c r="A251" s="1" t="s">
        <v>685</v>
      </c>
      <c r="B251" s="1" t="s">
        <v>686</v>
      </c>
      <c r="C251" s="1" t="s">
        <v>687</v>
      </c>
      <c r="D251" s="1" t="s">
        <v>19</v>
      </c>
      <c r="E251" s="1" t="s">
        <v>58</v>
      </c>
      <c r="F251">
        <v>91314.75</v>
      </c>
      <c r="G251" t="s">
        <v>95</v>
      </c>
      <c r="H251" s="2">
        <v>43931</v>
      </c>
      <c r="I251">
        <v>1</v>
      </c>
      <c r="J251" s="1" t="s">
        <v>103</v>
      </c>
      <c r="K251" s="1" t="s">
        <v>37</v>
      </c>
      <c r="L251">
        <v>6.3452054794520549</v>
      </c>
      <c r="M251" t="s">
        <v>92</v>
      </c>
    </row>
    <row r="252" spans="1:13" x14ac:dyDescent="0.3">
      <c r="A252" s="1" t="s">
        <v>71</v>
      </c>
      <c r="B252" s="1" t="s">
        <v>688</v>
      </c>
      <c r="C252" s="1" t="s">
        <v>689</v>
      </c>
      <c r="D252" s="1" t="s">
        <v>19</v>
      </c>
      <c r="E252" s="1" t="s">
        <v>25</v>
      </c>
      <c r="F252">
        <v>66572.58</v>
      </c>
      <c r="G252" t="s">
        <v>95</v>
      </c>
      <c r="H252" s="2">
        <v>44193</v>
      </c>
      <c r="I252">
        <v>1</v>
      </c>
      <c r="J252" s="1" t="s">
        <v>11</v>
      </c>
      <c r="K252" s="1" t="s">
        <v>35</v>
      </c>
      <c r="L252">
        <v>5.6273972602739724</v>
      </c>
      <c r="M252" t="s">
        <v>92</v>
      </c>
    </row>
    <row r="253" spans="1:13" x14ac:dyDescent="0.3">
      <c r="A253" s="1" t="s">
        <v>690</v>
      </c>
      <c r="B253" s="1" t="s">
        <v>691</v>
      </c>
      <c r="C253" s="1" t="s">
        <v>692</v>
      </c>
      <c r="D253" s="1" t="s">
        <v>19</v>
      </c>
      <c r="E253" s="1" t="s">
        <v>54</v>
      </c>
      <c r="F253">
        <v>30077.45</v>
      </c>
      <c r="G253" t="s">
        <v>124</v>
      </c>
      <c r="H253" s="2">
        <v>43474</v>
      </c>
      <c r="I253">
        <v>1</v>
      </c>
      <c r="J253" s="1" t="s">
        <v>11</v>
      </c>
      <c r="K253" s="1" t="s">
        <v>12</v>
      </c>
      <c r="L253">
        <v>7.5972602739726032</v>
      </c>
      <c r="M253" t="s">
        <v>92</v>
      </c>
    </row>
    <row r="254" spans="1:13" x14ac:dyDescent="0.3">
      <c r="A254" s="1" t="s">
        <v>693</v>
      </c>
      <c r="B254" s="1" t="s">
        <v>694</v>
      </c>
      <c r="C254" s="1" t="s">
        <v>695</v>
      </c>
      <c r="D254" s="1" t="s">
        <v>112</v>
      </c>
      <c r="E254" s="1" t="s">
        <v>27</v>
      </c>
      <c r="F254">
        <v>98012.63</v>
      </c>
      <c r="G254" t="s">
        <v>95</v>
      </c>
      <c r="H254" s="2">
        <v>43780</v>
      </c>
      <c r="I254">
        <v>1</v>
      </c>
      <c r="J254" s="1" t="s">
        <v>11</v>
      </c>
      <c r="K254" s="1" t="s">
        <v>20</v>
      </c>
      <c r="L254">
        <v>6.7589041095890412</v>
      </c>
      <c r="M254" t="s">
        <v>92</v>
      </c>
    </row>
    <row r="255" spans="1:13" x14ac:dyDescent="0.3">
      <c r="A255" s="1" t="s">
        <v>70</v>
      </c>
      <c r="B255" s="1" t="s">
        <v>250</v>
      </c>
      <c r="C255" s="1" t="s">
        <v>251</v>
      </c>
      <c r="D255" s="1" t="s">
        <v>19</v>
      </c>
      <c r="E255" s="1" t="s">
        <v>31</v>
      </c>
      <c r="F255">
        <v>72876.91</v>
      </c>
      <c r="G255" t="s">
        <v>95</v>
      </c>
      <c r="H255" s="2">
        <v>43837</v>
      </c>
      <c r="I255">
        <v>1</v>
      </c>
      <c r="J255" s="1" t="s">
        <v>11</v>
      </c>
      <c r="K255" s="1" t="s">
        <v>20</v>
      </c>
      <c r="L255">
        <v>6.602739726027397</v>
      </c>
      <c r="M255" t="s">
        <v>92</v>
      </c>
    </row>
    <row r="256" spans="1:13" x14ac:dyDescent="0.3">
      <c r="A256" s="1" t="s">
        <v>696</v>
      </c>
      <c r="B256" s="1" t="s">
        <v>697</v>
      </c>
      <c r="C256" s="1" t="s">
        <v>698</v>
      </c>
      <c r="D256" s="1" t="s">
        <v>19</v>
      </c>
      <c r="E256" s="1" t="s">
        <v>41</v>
      </c>
      <c r="F256">
        <v>92943.89</v>
      </c>
      <c r="G256" t="s">
        <v>95</v>
      </c>
      <c r="H256" s="2">
        <v>44510</v>
      </c>
      <c r="I256">
        <v>1</v>
      </c>
      <c r="J256" s="1" t="s">
        <v>11</v>
      </c>
      <c r="K256" s="1" t="s">
        <v>15</v>
      </c>
      <c r="L256">
        <v>4.7589041095890412</v>
      </c>
      <c r="M256" t="s">
        <v>92</v>
      </c>
    </row>
    <row r="257" spans="1:13" x14ac:dyDescent="0.3">
      <c r="A257" s="1" t="s">
        <v>699</v>
      </c>
      <c r="B257" s="1" t="s">
        <v>700</v>
      </c>
      <c r="C257" s="1" t="s">
        <v>701</v>
      </c>
      <c r="D257" s="1" t="s">
        <v>9</v>
      </c>
      <c r="E257" s="1" t="s">
        <v>31</v>
      </c>
      <c r="F257">
        <v>29808.07</v>
      </c>
      <c r="G257" t="s">
        <v>124</v>
      </c>
      <c r="H257" s="2">
        <v>43291</v>
      </c>
      <c r="I257">
        <v>0.3</v>
      </c>
      <c r="J257" s="1" t="s">
        <v>132</v>
      </c>
      <c r="K257" s="1" t="s">
        <v>15</v>
      </c>
      <c r="L257">
        <v>8.0986301369863014</v>
      </c>
      <c r="M257" t="s">
        <v>96</v>
      </c>
    </row>
    <row r="258" spans="1:13" x14ac:dyDescent="0.3">
      <c r="A258" s="1" t="s">
        <v>75</v>
      </c>
      <c r="B258" s="1" t="s">
        <v>702</v>
      </c>
      <c r="C258" s="1" t="s">
        <v>703</v>
      </c>
      <c r="D258" s="1" t="s">
        <v>9</v>
      </c>
      <c r="E258" s="1" t="s">
        <v>58</v>
      </c>
      <c r="F258">
        <v>47551.89</v>
      </c>
      <c r="G258" t="s">
        <v>124</v>
      </c>
      <c r="H258" s="2">
        <v>43468</v>
      </c>
      <c r="I258">
        <v>1</v>
      </c>
      <c r="J258" s="1" t="s">
        <v>11</v>
      </c>
      <c r="K258" s="1" t="s">
        <v>39</v>
      </c>
      <c r="L258">
        <v>7.6136986301369864</v>
      </c>
      <c r="M258" t="s">
        <v>92</v>
      </c>
    </row>
    <row r="259" spans="1:13" x14ac:dyDescent="0.3">
      <c r="A259" s="1" t="s">
        <v>238</v>
      </c>
      <c r="B259" s="1" t="s">
        <v>580</v>
      </c>
      <c r="C259" s="1" t="s">
        <v>704</v>
      </c>
      <c r="D259" s="1" t="s">
        <v>9</v>
      </c>
      <c r="E259" s="1" t="s">
        <v>33</v>
      </c>
      <c r="F259">
        <v>39700.82</v>
      </c>
      <c r="G259" t="s">
        <v>124</v>
      </c>
      <c r="H259" s="2">
        <v>44203</v>
      </c>
      <c r="I259">
        <v>0.8</v>
      </c>
      <c r="J259" s="1" t="s">
        <v>11</v>
      </c>
      <c r="K259" s="1" t="s">
        <v>35</v>
      </c>
      <c r="L259">
        <v>5.6</v>
      </c>
      <c r="M259" t="s">
        <v>96</v>
      </c>
    </row>
    <row r="260" spans="1:13" x14ac:dyDescent="0.3">
      <c r="A260" s="1" t="s">
        <v>705</v>
      </c>
      <c r="B260" s="1" t="s">
        <v>706</v>
      </c>
      <c r="C260" s="1" t="s">
        <v>707</v>
      </c>
      <c r="D260" s="1" t="s">
        <v>9</v>
      </c>
      <c r="E260" s="1" t="s">
        <v>25</v>
      </c>
      <c r="F260">
        <v>31089.22</v>
      </c>
      <c r="G260" t="s">
        <v>124</v>
      </c>
      <c r="H260" s="2">
        <v>43776</v>
      </c>
      <c r="I260">
        <v>1</v>
      </c>
      <c r="J260" s="1" t="s">
        <v>103</v>
      </c>
      <c r="K260" s="1" t="s">
        <v>35</v>
      </c>
      <c r="L260">
        <v>6.7698630136986298</v>
      </c>
      <c r="M260" t="s">
        <v>92</v>
      </c>
    </row>
    <row r="261" spans="1:13" x14ac:dyDescent="0.3">
      <c r="A261" s="1" t="s">
        <v>708</v>
      </c>
      <c r="B261" s="1" t="s">
        <v>117</v>
      </c>
      <c r="C261" s="1" t="s">
        <v>709</v>
      </c>
      <c r="D261" s="1" t="s">
        <v>9</v>
      </c>
      <c r="E261" s="1" t="s">
        <v>58</v>
      </c>
      <c r="F261">
        <v>78020.39</v>
      </c>
      <c r="G261" t="s">
        <v>95</v>
      </c>
      <c r="H261" s="2">
        <v>43899</v>
      </c>
      <c r="I261">
        <v>1</v>
      </c>
      <c r="J261" s="1" t="s">
        <v>11</v>
      </c>
      <c r="K261" s="1" t="s">
        <v>20</v>
      </c>
      <c r="L261">
        <v>6.4328767123287669</v>
      </c>
      <c r="M261" t="s">
        <v>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9CD5F-B2FE-45B9-8266-D9A9EE90060C}">
  <dimension ref="A1:B48"/>
  <sheetViews>
    <sheetView zoomScaleNormal="100" workbookViewId="0">
      <selection activeCell="A3" sqref="A3"/>
    </sheetView>
  </sheetViews>
  <sheetFormatPr defaultRowHeight="14.4" x14ac:dyDescent="0.3"/>
  <cols>
    <col min="1" max="1" width="21.5546875" bestFit="1" customWidth="1"/>
    <col min="2" max="2" width="14.88671875" bestFit="1" customWidth="1"/>
  </cols>
  <sheetData>
    <row r="1" spans="1:2" x14ac:dyDescent="0.3">
      <c r="A1" s="3" t="s">
        <v>710</v>
      </c>
      <c r="B1" t="s">
        <v>712</v>
      </c>
    </row>
    <row r="2" spans="1:2" x14ac:dyDescent="0.3">
      <c r="A2" s="4" t="s">
        <v>31</v>
      </c>
      <c r="B2" s="1">
        <v>2</v>
      </c>
    </row>
    <row r="3" spans="1:2" x14ac:dyDescent="0.3">
      <c r="A3" s="4" t="s">
        <v>711</v>
      </c>
      <c r="B3" s="1">
        <v>2</v>
      </c>
    </row>
    <row r="18" spans="1:2" x14ac:dyDescent="0.3">
      <c r="A18" s="3" t="s">
        <v>710</v>
      </c>
      <c r="B18" t="s">
        <v>713</v>
      </c>
    </row>
    <row r="19" spans="1:2" x14ac:dyDescent="0.3">
      <c r="A19" s="4" t="s">
        <v>27</v>
      </c>
      <c r="B19" s="5">
        <v>69806.945769230762</v>
      </c>
    </row>
    <row r="20" spans="1:2" x14ac:dyDescent="0.3">
      <c r="A20" s="4" t="s">
        <v>14</v>
      </c>
      <c r="B20" s="5">
        <v>79781.805769230792</v>
      </c>
    </row>
    <row r="21" spans="1:2" x14ac:dyDescent="0.3">
      <c r="A21" s="4" t="s">
        <v>41</v>
      </c>
      <c r="B21" s="5">
        <v>81976.441923076913</v>
      </c>
    </row>
    <row r="22" spans="1:2" x14ac:dyDescent="0.3">
      <c r="A22" s="4" t="s">
        <v>31</v>
      </c>
      <c r="B22" s="5">
        <v>73109.377727272731</v>
      </c>
    </row>
    <row r="23" spans="1:2" x14ac:dyDescent="0.3">
      <c r="A23" s="4" t="s">
        <v>25</v>
      </c>
      <c r="B23" s="5">
        <v>67242.51761904762</v>
      </c>
    </row>
    <row r="24" spans="1:2" x14ac:dyDescent="0.3">
      <c r="A24" s="4" t="s">
        <v>22</v>
      </c>
      <c r="B24" s="5">
        <v>64441.299999999996</v>
      </c>
    </row>
    <row r="25" spans="1:2" x14ac:dyDescent="0.3">
      <c r="A25" s="4" t="s">
        <v>46</v>
      </c>
      <c r="B25" s="5">
        <v>75179.064482758607</v>
      </c>
    </row>
    <row r="26" spans="1:2" x14ac:dyDescent="0.3">
      <c r="A26" s="4" t="s">
        <v>33</v>
      </c>
      <c r="B26" s="5">
        <v>66910.765555555554</v>
      </c>
    </row>
    <row r="27" spans="1:2" x14ac:dyDescent="0.3">
      <c r="A27" s="4" t="s">
        <v>58</v>
      </c>
      <c r="B27" s="5">
        <v>71897.095555555556</v>
      </c>
    </row>
    <row r="28" spans="1:2" x14ac:dyDescent="0.3">
      <c r="A28" s="4" t="s">
        <v>43</v>
      </c>
      <c r="B28" s="5">
        <v>74673.97476190477</v>
      </c>
    </row>
    <row r="29" spans="1:2" x14ac:dyDescent="0.3">
      <c r="A29" s="4" t="s">
        <v>54</v>
      </c>
      <c r="B29" s="5">
        <v>66432.455882352922</v>
      </c>
    </row>
    <row r="30" spans="1:2" x14ac:dyDescent="0.3">
      <c r="A30" s="4" t="s">
        <v>10</v>
      </c>
      <c r="B30" s="5">
        <v>83883.965000000011</v>
      </c>
    </row>
    <row r="31" spans="1:2" x14ac:dyDescent="0.3">
      <c r="A31" s="4" t="s">
        <v>711</v>
      </c>
      <c r="B31" s="5">
        <v>73861.325230769318</v>
      </c>
    </row>
    <row r="32" spans="1:2" x14ac:dyDescent="0.3">
      <c r="A32" s="3" t="s">
        <v>710</v>
      </c>
      <c r="B32" t="s">
        <v>712</v>
      </c>
    </row>
    <row r="33" spans="1:2" x14ac:dyDescent="0.3">
      <c r="A33" s="4" t="s">
        <v>103</v>
      </c>
      <c r="B33" s="1">
        <v>50</v>
      </c>
    </row>
    <row r="34" spans="1:2" x14ac:dyDescent="0.3">
      <c r="A34" s="4" t="s">
        <v>11</v>
      </c>
      <c r="B34" s="1">
        <v>168</v>
      </c>
    </row>
    <row r="35" spans="1:2" x14ac:dyDescent="0.3">
      <c r="A35" s="4" t="s">
        <v>132</v>
      </c>
      <c r="B35" s="1">
        <v>42</v>
      </c>
    </row>
    <row r="36" spans="1:2" x14ac:dyDescent="0.3">
      <c r="A36" s="4" t="s">
        <v>711</v>
      </c>
      <c r="B36" s="1">
        <v>260</v>
      </c>
    </row>
    <row r="40" spans="1:2" x14ac:dyDescent="0.3">
      <c r="A40" s="3" t="s">
        <v>710</v>
      </c>
      <c r="B40" t="s">
        <v>712</v>
      </c>
    </row>
    <row r="41" spans="1:2" x14ac:dyDescent="0.3">
      <c r="A41" s="4" t="s">
        <v>39</v>
      </c>
      <c r="B41" s="1">
        <v>26</v>
      </c>
    </row>
    <row r="42" spans="1:2" x14ac:dyDescent="0.3">
      <c r="A42" s="4" t="s">
        <v>35</v>
      </c>
      <c r="B42" s="1">
        <v>39</v>
      </c>
    </row>
    <row r="43" spans="1:2" x14ac:dyDescent="0.3">
      <c r="A43" s="4" t="s">
        <v>17</v>
      </c>
      <c r="B43" s="1">
        <v>30</v>
      </c>
    </row>
    <row r="44" spans="1:2" x14ac:dyDescent="0.3">
      <c r="A44" s="4" t="s">
        <v>15</v>
      </c>
      <c r="B44" s="1">
        <v>43</v>
      </c>
    </row>
    <row r="45" spans="1:2" x14ac:dyDescent="0.3">
      <c r="A45" s="4" t="s">
        <v>20</v>
      </c>
      <c r="B45" s="1">
        <v>69</v>
      </c>
    </row>
    <row r="46" spans="1:2" x14ac:dyDescent="0.3">
      <c r="A46" s="4" t="s">
        <v>37</v>
      </c>
      <c r="B46" s="1">
        <v>26</v>
      </c>
    </row>
    <row r="47" spans="1:2" x14ac:dyDescent="0.3">
      <c r="A47" s="4" t="s">
        <v>12</v>
      </c>
      <c r="B47" s="1">
        <v>27</v>
      </c>
    </row>
    <row r="48" spans="1:2" x14ac:dyDescent="0.3">
      <c r="A48" s="4" t="s">
        <v>711</v>
      </c>
      <c r="B48" s="1">
        <v>260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6764E-351A-45C9-ACA0-76FFFCAA93EB}">
  <dimension ref="A1:G5"/>
  <sheetViews>
    <sheetView topLeftCell="C1" workbookViewId="0">
      <selection activeCell="J18" sqref="J18"/>
    </sheetView>
  </sheetViews>
  <sheetFormatPr defaultRowHeight="14.4" x14ac:dyDescent="0.3"/>
  <cols>
    <col min="1" max="1" width="25.88671875" customWidth="1"/>
    <col min="2" max="2" width="23.109375" customWidth="1"/>
    <col min="3" max="3" width="24.21875" style="5" customWidth="1"/>
    <col min="5" max="5" width="20.5546875" style="7" customWidth="1"/>
    <col min="7" max="7" width="11.77734375" customWidth="1"/>
  </cols>
  <sheetData>
    <row r="1" spans="1:7" x14ac:dyDescent="0.3">
      <c r="A1" t="s">
        <v>714</v>
      </c>
    </row>
    <row r="2" spans="1:7" x14ac:dyDescent="0.3">
      <c r="A2" t="s">
        <v>715</v>
      </c>
    </row>
    <row r="4" spans="1:7" x14ac:dyDescent="0.3">
      <c r="A4" t="s">
        <v>716</v>
      </c>
      <c r="C4" s="5" t="s">
        <v>717</v>
      </c>
      <c r="E4" s="7" t="s">
        <v>718</v>
      </c>
      <c r="G4" t="s">
        <v>719</v>
      </c>
    </row>
    <row r="5" spans="1:7" x14ac:dyDescent="0.3">
      <c r="A5">
        <f>COUNTA(Staff[Emp ID])</f>
        <v>260</v>
      </c>
      <c r="C5" s="6">
        <f>AVERAGE(Staff[Salary])</f>
        <v>73861.325230769202</v>
      </c>
      <c r="E5" s="7">
        <f>SUM(Staff[Salary])</f>
        <v>19203944.559999991</v>
      </c>
      <c r="G5">
        <f>AVERAGE(Staff[FTE])</f>
        <v>0.89615384615384652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9707-DD45-40DA-ADF0-08283A85B5AC}">
  <dimension ref="A1:G4"/>
  <sheetViews>
    <sheetView tabSelected="1" topLeftCell="A84" zoomScale="66" zoomScaleNormal="42" workbookViewId="0">
      <selection activeCell="A102" sqref="A102"/>
    </sheetView>
  </sheetViews>
  <sheetFormatPr defaultRowHeight="14.4" x14ac:dyDescent="0.3"/>
  <cols>
    <col min="1" max="1" width="26.21875" customWidth="1"/>
    <col min="3" max="3" width="15.5546875" customWidth="1"/>
    <col min="5" max="5" width="12.5546875" customWidth="1"/>
    <col min="7" max="7" width="11.88671875" customWidth="1"/>
  </cols>
  <sheetData>
    <row r="1" spans="1:7" x14ac:dyDescent="0.3">
      <c r="A1" s="12" t="s">
        <v>724</v>
      </c>
    </row>
    <row r="3" spans="1:7" x14ac:dyDescent="0.3">
      <c r="A3" s="8" t="s">
        <v>720</v>
      </c>
      <c r="C3" s="8" t="s">
        <v>721</v>
      </c>
      <c r="E3" s="8" t="s">
        <v>722</v>
      </c>
      <c r="G3" s="8" t="s">
        <v>723</v>
      </c>
    </row>
    <row r="4" spans="1:7" x14ac:dyDescent="0.3">
      <c r="A4" s="9">
        <f>Analysis!A5</f>
        <v>260</v>
      </c>
      <c r="C4" s="10">
        <f>Analysis!C5</f>
        <v>73861.325230769202</v>
      </c>
      <c r="E4" s="11">
        <f>Analysis!E5</f>
        <v>19203944.559999991</v>
      </c>
      <c r="G4" s="9">
        <f>Analysis!G5</f>
        <v>0.89615384615384652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86CFC-35FA-4E93-92CD-A39D1F085C93}">
  <dimension ref="A1:B40"/>
  <sheetViews>
    <sheetView topLeftCell="A2" workbookViewId="0">
      <selection activeCell="B30" sqref="B30"/>
    </sheetView>
  </sheetViews>
  <sheetFormatPr defaultRowHeight="14.4" x14ac:dyDescent="0.3"/>
  <cols>
    <col min="1" max="1" width="80.21875" customWidth="1"/>
    <col min="2" max="2" width="18.21875" customWidth="1"/>
  </cols>
  <sheetData>
    <row r="1" spans="1:2" x14ac:dyDescent="0.3">
      <c r="A1" t="s">
        <v>725</v>
      </c>
    </row>
    <row r="2" spans="1:2" x14ac:dyDescent="0.3">
      <c r="A2" t="s">
        <v>726</v>
      </c>
    </row>
    <row r="4" spans="1:2" x14ac:dyDescent="0.3">
      <c r="A4" t="s">
        <v>727</v>
      </c>
    </row>
    <row r="5" spans="1:2" x14ac:dyDescent="0.3">
      <c r="A5" s="13" t="s">
        <v>716</v>
      </c>
      <c r="B5" s="13">
        <f>Analysis!A5</f>
        <v>260</v>
      </c>
    </row>
    <row r="6" spans="1:2" x14ac:dyDescent="0.3">
      <c r="A6" s="13" t="s">
        <v>717</v>
      </c>
      <c r="B6" s="14">
        <f>Analysis!C5</f>
        <v>73861.325230769202</v>
      </c>
    </row>
    <row r="7" spans="1:2" x14ac:dyDescent="0.3">
      <c r="A7" s="13" t="s">
        <v>719</v>
      </c>
      <c r="B7" s="13">
        <f>Analysis!G5</f>
        <v>0.89615384615384652</v>
      </c>
    </row>
    <row r="8" spans="1:2" x14ac:dyDescent="0.3">
      <c r="A8" s="13" t="s">
        <v>718</v>
      </c>
      <c r="B8" s="7">
        <f>Analysis!E5</f>
        <v>19203944.559999991</v>
      </c>
    </row>
    <row r="10" spans="1:2" x14ac:dyDescent="0.3">
      <c r="A10" t="s">
        <v>728</v>
      </c>
    </row>
    <row r="11" spans="1:2" x14ac:dyDescent="0.3">
      <c r="A11" t="s">
        <v>729</v>
      </c>
      <c r="B11" t="s">
        <v>41</v>
      </c>
    </row>
    <row r="12" spans="1:2" ht="28.8" x14ac:dyDescent="0.3">
      <c r="A12" s="13" t="s">
        <v>730</v>
      </c>
      <c r="B12" s="13" t="s">
        <v>731</v>
      </c>
    </row>
    <row r="13" spans="1:2" ht="28.8" x14ac:dyDescent="0.3">
      <c r="A13" s="13" t="s">
        <v>732</v>
      </c>
      <c r="B13" s="13" t="s">
        <v>733</v>
      </c>
    </row>
    <row r="14" spans="1:2" x14ac:dyDescent="0.3">
      <c r="A14" t="s">
        <v>734</v>
      </c>
    </row>
    <row r="15" spans="1:2" x14ac:dyDescent="0.3">
      <c r="A15" t="s">
        <v>735</v>
      </c>
    </row>
    <row r="16" spans="1:2" x14ac:dyDescent="0.3">
      <c r="A16" s="13" t="s">
        <v>736</v>
      </c>
      <c r="B16" s="13" t="s">
        <v>737</v>
      </c>
    </row>
    <row r="17" spans="1:2" x14ac:dyDescent="0.3">
      <c r="A17" s="13" t="s">
        <v>738</v>
      </c>
      <c r="B17" s="13" t="s">
        <v>739</v>
      </c>
    </row>
    <row r="20" spans="1:2" x14ac:dyDescent="0.3">
      <c r="A20" t="s">
        <v>740</v>
      </c>
    </row>
    <row r="21" spans="1:2" x14ac:dyDescent="0.3">
      <c r="A21" s="13" t="s">
        <v>741</v>
      </c>
      <c r="B21" s="13" t="s">
        <v>742</v>
      </c>
    </row>
    <row r="22" spans="1:2" x14ac:dyDescent="0.3">
      <c r="A22" s="13" t="s">
        <v>743</v>
      </c>
      <c r="B22" s="13" t="s">
        <v>739</v>
      </c>
    </row>
    <row r="23" spans="1:2" x14ac:dyDescent="0.3">
      <c r="A23" s="13" t="s">
        <v>744</v>
      </c>
      <c r="B23" s="13" t="s">
        <v>739</v>
      </c>
    </row>
    <row r="26" spans="1:2" x14ac:dyDescent="0.3">
      <c r="A26" s="13" t="s">
        <v>745</v>
      </c>
      <c r="B26" s="13"/>
    </row>
    <row r="27" spans="1:2" x14ac:dyDescent="0.3">
      <c r="A27" s="13"/>
      <c r="B27" s="13"/>
    </row>
    <row r="28" spans="1:2" x14ac:dyDescent="0.3">
      <c r="A28" t="s">
        <v>746</v>
      </c>
    </row>
    <row r="30" spans="1:2" x14ac:dyDescent="0.3">
      <c r="A30" t="s">
        <v>747</v>
      </c>
    </row>
    <row r="32" spans="1:2" x14ac:dyDescent="0.3">
      <c r="A32" t="s">
        <v>748</v>
      </c>
    </row>
    <row r="34" spans="1:1" x14ac:dyDescent="0.3">
      <c r="A34" t="s">
        <v>749</v>
      </c>
    </row>
    <row r="36" spans="1:1" x14ac:dyDescent="0.3">
      <c r="A36" t="s">
        <v>750</v>
      </c>
    </row>
    <row r="38" spans="1:1" x14ac:dyDescent="0.3">
      <c r="A38" t="s">
        <v>751</v>
      </c>
    </row>
    <row r="40" spans="1:1" x14ac:dyDescent="0.3">
      <c r="A40" t="s">
        <v>752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4B7E11-27B2-4A0D-A12F-258932140D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Staff</vt:lpstr>
      <vt:lpstr>Pivot_table</vt:lpstr>
      <vt:lpstr>Analysis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Rushii nayak</dc:creator>
  <cp:lastModifiedBy>Rushii nayak</cp:lastModifiedBy>
  <dcterms:created xsi:type="dcterms:W3CDTF">2026-08-13T06:24:57Z</dcterms:created>
  <dcterms:modified xsi:type="dcterms:W3CDTF">2026-08-13T18:09:32Z</dcterms:modified>
</cp:coreProperties>
</file>